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7120d11d152197a/Documents/DLPG/"/>
    </mc:Choice>
  </mc:AlternateContent>
  <xr:revisionPtr revIDLastSave="248" documentId="8_{4D3807A4-10BB-42B9-B407-42548E288F65}" xr6:coauthVersionLast="47" xr6:coauthVersionMax="47" xr10:uidLastSave="{9136A8BB-A334-4553-8FE7-0A252127C329}"/>
  <bookViews>
    <workbookView xWindow="-110" yWindow="-110" windowWidth="19420" windowHeight="11500" xr2:uid="{00000000-000D-0000-FFFF-FFFF00000000}"/>
  </bookViews>
  <sheets>
    <sheet name="Section Index" sheetId="1" r:id="rId1"/>
    <sheet name="S01_50C-10-V001" sheetId="3" r:id="rId2"/>
    <sheet name="S02_50C-10-V001A" sheetId="4" r:id="rId3"/>
    <sheet name="S03_50C-10-V001B" sheetId="5" r:id="rId4"/>
    <sheet name="S04_50C-11-V001" sheetId="6" r:id="rId5"/>
    <sheet name="S05_50C-11-01" sheetId="7" r:id="rId6"/>
    <sheet name="S06_50C-11-02" sheetId="8" r:id="rId7"/>
    <sheet name="S07_50C-11-03" sheetId="9" r:id="rId8"/>
    <sheet name="S08_50C-11-04" sheetId="10" r:id="rId9"/>
    <sheet name="S09_50C-11-05" sheetId="11" r:id="rId10"/>
    <sheet name="S10_50C-11-06" sheetId="12" r:id="rId11"/>
    <sheet name="S11_50C-11-07" sheetId="13" r:id="rId12"/>
    <sheet name="S12_50C-11-08" sheetId="14" r:id="rId13"/>
    <sheet name="S13_50-15-V002" sheetId="15" r:id="rId14"/>
    <sheet name="S14_50-20-V038" sheetId="16" r:id="rId15"/>
    <sheet name="S15_50-20A-V004" sheetId="17" r:id="rId16"/>
    <sheet name="S16_50-20B-V007" sheetId="18" r:id="rId17"/>
    <sheet name="S17_50-20C-V004" sheetId="19" r:id="rId18"/>
    <sheet name="S18_50-20D-V007" sheetId="20" r:id="rId19"/>
    <sheet name="S19_50-20E-V007" sheetId="21" r:id="rId20"/>
    <sheet name="S20_50-20F-V003" sheetId="22" r:id="rId21"/>
    <sheet name="S21_50-20G-V006" sheetId="23" r:id="rId22"/>
    <sheet name="S22_50-20H-V006" sheetId="24" r:id="rId23"/>
    <sheet name="S23_50-20M-V007" sheetId="25" r:id="rId24"/>
    <sheet name="S24_50-20N-V012" sheetId="26" r:id="rId25"/>
    <sheet name="S25_50C-20L-V001" sheetId="27" r:id="rId26"/>
    <sheet name="S26_50-30-V010" sheetId="28" r:id="rId27"/>
    <sheet name="S27_50C-30-V001A" sheetId="29" r:id="rId28"/>
    <sheet name="S28_50C-30-V001B" sheetId="30" r:id="rId29"/>
    <sheet name="S29_50C-30-V001C" sheetId="31" r:id="rId30"/>
    <sheet name="S30_50C-40-V001" sheetId="32" r:id="rId31"/>
    <sheet name="S31_50-40-V001A" sheetId="33" r:id="rId32"/>
    <sheet name="S32_50C-40-V001A" sheetId="34" r:id="rId33"/>
    <sheet name="S33_50C-50-V001" sheetId="35" r:id="rId34"/>
    <sheet name="S34_50-50-V001F" sheetId="36" r:id="rId35"/>
    <sheet name="S35_50C-50-V001A" sheetId="37" r:id="rId36"/>
    <sheet name="S36_50-55-V001" sheetId="38" r:id="rId37"/>
    <sheet name="S37_50-60-V010" sheetId="39" r:id="rId38"/>
    <sheet name="S38_50C-60-V001A" sheetId="40" r:id="rId39"/>
    <sheet name="S39_50-70-V014" sheetId="41" r:id="rId40"/>
    <sheet name="S40_50-70-V001A" sheetId="42" r:id="rId41"/>
    <sheet name="S41_50-70-V001C" sheetId="43" r:id="rId42"/>
    <sheet name="S42_50-80-V018" sheetId="44" r:id="rId43"/>
    <sheet name="S43_50C-80-V001A" sheetId="45" r:id="rId44"/>
    <sheet name="S44_50C-90-V001" sheetId="46" r:id="rId45"/>
    <sheet name="S45_50C-90-V001A" sheetId="72" r:id="rId46"/>
    <sheet name="S46_50C-91-V001" sheetId="47" r:id="rId47"/>
    <sheet name="S47_50-91-V001C" sheetId="48" r:id="rId48"/>
    <sheet name="S48_50C-100-V001" sheetId="49" r:id="rId49"/>
    <sheet name="S49_50C-100-V001A" sheetId="50" r:id="rId50"/>
    <sheet name="S_50C-110-V001" sheetId="73" r:id="rId51"/>
    <sheet name="S51_50C-110-V001A" sheetId="52" r:id="rId52"/>
    <sheet name="S52_50C-120-V001" sheetId="51" r:id="rId53"/>
    <sheet name="S53_50C-130-V001" sheetId="54" r:id="rId54"/>
    <sheet name="S54_50C-130-V001B" sheetId="55" r:id="rId55"/>
    <sheet name="S55_50C-130-V001C" sheetId="56" r:id="rId56"/>
    <sheet name="S56_50-130-V001D" sheetId="57" r:id="rId57"/>
    <sheet name="S57_50C-132-V001" sheetId="58" r:id="rId58"/>
    <sheet name="S58_50C-140-V001" sheetId="59" r:id="rId59"/>
    <sheet name="S59_50C-140-V001B" sheetId="60" r:id="rId60"/>
    <sheet name="S60_50-140-V001G" sheetId="61" r:id="rId61"/>
    <sheet name="S61_50C-150-V001" sheetId="62" r:id="rId62"/>
    <sheet name="S62_50C-150-V001B" sheetId="63" r:id="rId63"/>
    <sheet name="S63_50C-210-V001" sheetId="64" r:id="rId64"/>
    <sheet name="S64_50C-220-V001" sheetId="65" r:id="rId65"/>
    <sheet name="S65_EC-220-V004" sheetId="66" r:id="rId66"/>
    <sheet name="S66_50-230-V007" sheetId="67" r:id="rId67"/>
    <sheet name="S67_50-240-V007" sheetId="68" r:id="rId68"/>
    <sheet name="S68_GS2-V029" sheetId="69" r:id="rId69"/>
    <sheet name="S69_GS2-V001A" sheetId="70" r:id="rId70"/>
    <sheet name="S70_LUB50-V008" sheetId="71" r:id="rId71"/>
  </sheets>
  <definedNames>
    <definedName name="_xlnm._FilterDatabase" localSheetId="1" hidden="1">'S01_50C-10-V001'!$A$4:$H$83</definedName>
    <definedName name="_xlnm._FilterDatabase" localSheetId="2" hidden="1">'S02_50C-10-V001A'!$A$4:$H$9</definedName>
    <definedName name="_xlnm._FilterDatabase" localSheetId="3" hidden="1">'S03_50C-10-V001B'!$A$4:$H$13</definedName>
    <definedName name="_xlnm._FilterDatabase" localSheetId="4" hidden="1">'S04_50C-11-V001'!$A$4:$H$17</definedName>
    <definedName name="_xlnm._FilterDatabase" localSheetId="5" hidden="1">'S05_50C-11-01'!$A$4:$H$24</definedName>
    <definedName name="_xlnm._FilterDatabase" localSheetId="6" hidden="1">'S06_50C-11-02'!$A$4:$H$23</definedName>
    <definedName name="_xlnm._FilterDatabase" localSheetId="7" hidden="1">'S07_50C-11-03'!$A$4:$H$22</definedName>
    <definedName name="_xlnm._FilterDatabase" localSheetId="8" hidden="1">'S08_50C-11-04'!$A$4:$H$12</definedName>
    <definedName name="_xlnm._FilterDatabase" localSheetId="9" hidden="1">'S09_50C-11-05'!$A$4:$H$26</definedName>
    <definedName name="_xlnm._FilterDatabase" localSheetId="10" hidden="1">'S10_50C-11-06'!$A$4:$H$26</definedName>
    <definedName name="_xlnm._FilterDatabase" localSheetId="11" hidden="1">'S11_50C-11-07'!$A$4:$H$22</definedName>
    <definedName name="_xlnm._FilterDatabase" localSheetId="12" hidden="1">'S12_50C-11-08'!$A$4:$H$12</definedName>
    <definedName name="_xlnm._FilterDatabase" localSheetId="13" hidden="1">'S13_50-15-V002'!$A$4:$H$6</definedName>
    <definedName name="_xlnm._FilterDatabase" localSheetId="14" hidden="1">'S14_50-20-V038'!$A$4:$H$42</definedName>
    <definedName name="_xlnm._FilterDatabase" localSheetId="15" hidden="1">'S15_50-20A-V004'!$A$4:$H$28</definedName>
    <definedName name="_xlnm._FilterDatabase" localSheetId="16" hidden="1">'S16_50-20B-V007'!$A$4:$H$47</definedName>
    <definedName name="_xlnm._FilterDatabase" localSheetId="17" hidden="1">'S17_50-20C-V004'!$A$4:$H$35</definedName>
    <definedName name="_xlnm._FilterDatabase" localSheetId="18" hidden="1">'S18_50-20D-V007'!$A$4:$H$22</definedName>
    <definedName name="_xlnm._FilterDatabase" localSheetId="19" hidden="1">'S19_50-20E-V007'!$A$4:$H$24</definedName>
    <definedName name="_xlnm._FilterDatabase" localSheetId="20" hidden="1">'S20_50-20F-V003'!$A$4:$H$16</definedName>
    <definedName name="_xlnm._FilterDatabase" localSheetId="21" hidden="1">'S21_50-20G-V006'!$A$4:$H$45</definedName>
    <definedName name="_xlnm._FilterDatabase" localSheetId="22" hidden="1">'S22_50-20H-V006'!$A$4:$H$38</definedName>
    <definedName name="_xlnm._FilterDatabase" localSheetId="23" hidden="1">'S23_50-20M-V007'!$A$4:$H$37</definedName>
    <definedName name="_xlnm._FilterDatabase" localSheetId="24" hidden="1">'S24_50-20N-V012'!$A$4:$H$30</definedName>
    <definedName name="_xlnm._FilterDatabase" localSheetId="25" hidden="1">'S25_50C-20L-V001'!$A$4:$H$49</definedName>
    <definedName name="_xlnm._FilterDatabase" localSheetId="26" hidden="1">'S26_50-30-V010'!$A$4:$H$67</definedName>
    <definedName name="_xlnm._FilterDatabase" localSheetId="27" hidden="1">'S27_50C-30-V001A'!$A$4:$H$19</definedName>
    <definedName name="_xlnm._FilterDatabase" localSheetId="28" hidden="1">'S28_50C-30-V001B'!$A$4:$H$5</definedName>
    <definedName name="_xlnm._FilterDatabase" localSheetId="29" hidden="1">'S29_50C-30-V001C'!$A$4:$H$5</definedName>
    <definedName name="_xlnm._FilterDatabase" localSheetId="30" hidden="1">'S30_50C-40-V001'!$A$4:$H$67</definedName>
    <definedName name="_xlnm._FilterDatabase" localSheetId="31" hidden="1">'S31_50-40-V001A'!$A$4:$H$5</definedName>
    <definedName name="_xlnm._FilterDatabase" localSheetId="32" hidden="1">'S32_50C-40-V001A'!$A$4:$H$5</definedName>
    <definedName name="_xlnm._FilterDatabase" localSheetId="33" hidden="1">'S33_50C-50-V001'!$A$4:$H$46</definedName>
    <definedName name="_xlnm._FilterDatabase" localSheetId="34" hidden="1">'S34_50-50-V001F'!$A$4:$H$5</definedName>
    <definedName name="_xlnm._FilterDatabase" localSheetId="35" hidden="1">'S35_50C-50-V001A'!$A$4:$H$7</definedName>
    <definedName name="_xlnm._FilterDatabase" localSheetId="36" hidden="1">'S36_50-55-V001'!$A$4:$H$39</definedName>
    <definedName name="_xlnm._FilterDatabase" localSheetId="37" hidden="1">'S37_50-60-V010'!$A$4:$H$28</definedName>
    <definedName name="_xlnm._FilterDatabase" localSheetId="38" hidden="1">'S38_50C-60-V001A'!$A$3:$H$4</definedName>
    <definedName name="_xlnm._FilterDatabase" localSheetId="39" hidden="1">'S39_50-70-V014'!$A$4:$H$41</definedName>
    <definedName name="_xlnm._FilterDatabase" localSheetId="40" hidden="1">'S40_50-70-V001A'!$A$4:$H$8</definedName>
    <definedName name="_xlnm._FilterDatabase" localSheetId="41" hidden="1">'S41_50-70-V001C'!$A$4:$H$6</definedName>
    <definedName name="_xlnm._FilterDatabase" localSheetId="42" hidden="1">'S42_50-80-V018'!$A$4:$H$46</definedName>
    <definedName name="_xlnm._FilterDatabase" localSheetId="43" hidden="1">'S43_50C-80-V001A'!$A$4:$H$7</definedName>
    <definedName name="_xlnm._FilterDatabase" localSheetId="44" hidden="1">'S44_50C-90-V001'!$A$4:$H$26</definedName>
    <definedName name="_xlnm._FilterDatabase" localSheetId="46" hidden="1">'S46_50C-91-V001'!$A$4:$H$67</definedName>
    <definedName name="_xlnm._FilterDatabase" localSheetId="47" hidden="1">'S47_50-91-V001C'!$A$4:$H$18</definedName>
    <definedName name="_xlnm._FilterDatabase" localSheetId="48" hidden="1">'S48_50C-100-V001'!$A$4:$H$59</definedName>
    <definedName name="_xlnm._FilterDatabase" localSheetId="49" hidden="1">'S49_50C-100-V001A'!$A$4:$H$6</definedName>
    <definedName name="_xlnm._FilterDatabase" localSheetId="51" hidden="1">'S51_50C-110-V001A'!$A$4:$H$5</definedName>
    <definedName name="_xlnm._FilterDatabase" localSheetId="52" hidden="1">'S52_50C-120-V001'!$A$4:$H$65</definedName>
    <definedName name="_xlnm._FilterDatabase" localSheetId="53" hidden="1">'S53_50C-130-V001'!$A$4:$H$69</definedName>
    <definedName name="_xlnm._FilterDatabase" localSheetId="54" hidden="1">'S54_50C-130-V001B'!$A$4:$H$7</definedName>
    <definedName name="_xlnm._FilterDatabase" localSheetId="55" hidden="1">'S55_50C-130-V001C'!$A$4:$H$12</definedName>
    <definedName name="_xlnm._FilterDatabase" localSheetId="56" hidden="1">'S56_50-130-V001D'!$A$4:$H$8</definedName>
    <definedName name="_xlnm._FilterDatabase" localSheetId="57" hidden="1">'S57_50C-132-V001'!$A$4:$H$48</definedName>
    <definedName name="_xlnm._FilterDatabase" localSheetId="58" hidden="1">'S58_50C-140-V001'!$A$4:$H$87</definedName>
    <definedName name="_xlnm._FilterDatabase" localSheetId="59" hidden="1">'S59_50C-140-V001B'!$A$4:$H$6</definedName>
    <definedName name="_xlnm._FilterDatabase" localSheetId="60" hidden="1">'S60_50-140-V001G'!$A$4:$H$5</definedName>
    <definedName name="_xlnm._FilterDatabase" localSheetId="61" hidden="1">'S61_50C-150-V001'!$A$4:$H$13</definedName>
    <definedName name="_xlnm._FilterDatabase" localSheetId="62" hidden="1">'S62_50C-150-V001B'!$A$4:$H$10</definedName>
    <definedName name="_xlnm._FilterDatabase" localSheetId="63" hidden="1">'S63_50C-210-V001'!$A$4:$H$48</definedName>
    <definedName name="_xlnm._FilterDatabase" localSheetId="64" hidden="1">'S64_50C-220-V001'!$A$4:$H$31</definedName>
    <definedName name="_xlnm._FilterDatabase" localSheetId="65" hidden="1">'S65_EC-220-V004'!$A$4:$H$23</definedName>
    <definedName name="_xlnm._FilterDatabase" localSheetId="66" hidden="1">'S66_50-230-V007'!$A$4:$H$22</definedName>
    <definedName name="_xlnm._FilterDatabase" localSheetId="67" hidden="1">'S67_50-240-V007'!$A$4:$H$45</definedName>
    <definedName name="_xlnm._FilterDatabase" localSheetId="68" hidden="1">'S68_GS2-V029'!$A$4:$H$58</definedName>
    <definedName name="_xlnm._FilterDatabase" localSheetId="69" hidden="1">'S69_GS2-V001A'!$A$4:$H$6</definedName>
    <definedName name="_xlnm._FilterDatabase" localSheetId="70" hidden="1">'S70_LUB50-V008'!$A$4:$H$29</definedName>
    <definedName name="_xlnm._FilterDatabase" localSheetId="0" hidden="1">'Section Index'!$A$3:$C$74</definedName>
    <definedName name="Z_2EDA2878_DDCB_447C_BAD9_966431DD50DA_.wvu.FilterData" localSheetId="0" hidden="1">'Section Index'!$A$3:$C$74</definedName>
  </definedNames>
  <calcPr calcId="191029"/>
  <customWorkbookViews>
    <customWorkbookView name="SectionIndex filter view" guid="{2EDA2878-DDCB-447C-BAD9-966431DD50DA}" maximized="1" windowWidth="0" windowHeight="0" activeSheetId="0"/>
    <customWorkbookView name="MasterParts filter view" guid="{91713CA8-BBDC-48EC-9A75-29FF54C46A6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 a="1"/>
  <c r="F5" i="3" s="1"/>
  <c r="G5" i="3" a="1"/>
  <c r="G5" i="3"/>
  <c r="H5" i="3" a="1"/>
  <c r="H5" i="3"/>
  <c r="F6" i="3" a="1"/>
  <c r="F6" i="3" s="1"/>
  <c r="G6" i="3" a="1"/>
  <c r="G6" i="3" s="1"/>
  <c r="H6" i="3" a="1"/>
  <c r="H6" i="3" s="1"/>
  <c r="F7" i="3" a="1"/>
  <c r="F7" i="3"/>
  <c r="G7" i="3" a="1"/>
  <c r="G7" i="3" s="1"/>
  <c r="H7" i="3" a="1"/>
  <c r="H7" i="3" s="1"/>
  <c r="F8" i="3" a="1"/>
  <c r="F8" i="3" s="1"/>
  <c r="G8" i="3" a="1"/>
  <c r="G8" i="3"/>
  <c r="H8" i="3" a="1"/>
  <c r="H8" i="3" s="1"/>
  <c r="F9" i="3" a="1"/>
  <c r="F9" i="3" s="1"/>
  <c r="G9" i="3" a="1"/>
  <c r="G9" i="3" s="1"/>
  <c r="H9" i="3" a="1"/>
  <c r="H9" i="3"/>
  <c r="F10" i="3" a="1"/>
  <c r="F10" i="3" s="1"/>
  <c r="G10" i="3" a="1"/>
  <c r="G10" i="3" s="1"/>
  <c r="H10" i="3" a="1"/>
  <c r="H10" i="3" s="1"/>
  <c r="F11" i="3" a="1"/>
  <c r="F11" i="3"/>
  <c r="G11" i="3" a="1"/>
  <c r="G11" i="3" s="1"/>
  <c r="H11" i="3" a="1"/>
  <c r="H11" i="3" s="1"/>
  <c r="F12" i="3" a="1"/>
  <c r="F12" i="3" s="1"/>
  <c r="G12" i="3" a="1"/>
  <c r="G12" i="3"/>
  <c r="H12" i="3" a="1"/>
  <c r="H12" i="3" s="1"/>
  <c r="F13" i="3" a="1"/>
  <c r="F13" i="3" s="1"/>
  <c r="G13" i="3" a="1"/>
  <c r="G13" i="3" s="1"/>
  <c r="H13" i="3" a="1"/>
  <c r="H13" i="3"/>
  <c r="F14" i="3" a="1"/>
  <c r="F14" i="3" s="1"/>
  <c r="G14" i="3" a="1"/>
  <c r="G14" i="3" s="1"/>
  <c r="H14" i="3" a="1"/>
  <c r="H14" i="3" s="1"/>
  <c r="F15" i="3" a="1"/>
  <c r="F15" i="3"/>
  <c r="G15" i="3" a="1"/>
  <c r="G15" i="3" s="1"/>
  <c r="H15" i="3" a="1"/>
  <c r="H15" i="3" s="1"/>
  <c r="F16" i="3" a="1"/>
  <c r="F16" i="3" s="1"/>
  <c r="G16" i="3" a="1"/>
  <c r="G16" i="3"/>
  <c r="H16" i="3" a="1"/>
  <c r="H16" i="3" s="1"/>
  <c r="F17" i="3" a="1"/>
  <c r="F17" i="3" s="1"/>
  <c r="G17" i="3" a="1"/>
  <c r="G17" i="3" s="1"/>
  <c r="H17" i="3" a="1"/>
  <c r="H17" i="3"/>
  <c r="F18" i="3" a="1"/>
  <c r="F18" i="3" s="1"/>
  <c r="G18" i="3" a="1"/>
  <c r="G18" i="3" s="1"/>
  <c r="H18" i="3" a="1"/>
  <c r="H18" i="3" s="1"/>
  <c r="F19" i="3" a="1"/>
  <c r="F19" i="3"/>
  <c r="G19" i="3" a="1"/>
  <c r="G19" i="3" s="1"/>
  <c r="H19" i="3" a="1"/>
  <c r="H19" i="3" s="1"/>
  <c r="F20" i="3" a="1"/>
  <c r="F20" i="3" s="1"/>
  <c r="G20" i="3" a="1"/>
  <c r="G20" i="3"/>
  <c r="H20" i="3" a="1"/>
  <c r="H20" i="3" s="1"/>
  <c r="F21" i="3" a="1"/>
  <c r="F21" i="3" s="1"/>
  <c r="G21" i="3" a="1"/>
  <c r="G21" i="3" s="1"/>
  <c r="H21" i="3" a="1"/>
  <c r="H21" i="3"/>
  <c r="F22" i="3" a="1"/>
  <c r="F22" i="3" s="1"/>
  <c r="G22" i="3" a="1"/>
  <c r="G22" i="3" s="1"/>
  <c r="H22" i="3" a="1"/>
  <c r="H22" i="3" s="1"/>
  <c r="F23" i="3" a="1"/>
  <c r="F23" i="3"/>
  <c r="G23" i="3" a="1"/>
  <c r="G23" i="3" s="1"/>
  <c r="H23" i="3" a="1"/>
  <c r="H23" i="3" s="1"/>
  <c r="F24" i="3" a="1"/>
  <c r="F24" i="3" s="1"/>
  <c r="G24" i="3" a="1"/>
  <c r="G24" i="3"/>
  <c r="H24" i="3" a="1"/>
  <c r="H24" i="3" s="1"/>
  <c r="F25" i="3" a="1"/>
  <c r="F25" i="3" s="1"/>
  <c r="G25" i="3" a="1"/>
  <c r="G25" i="3" s="1"/>
  <c r="H25" i="3" a="1"/>
  <c r="H25" i="3"/>
  <c r="F26" i="3" a="1"/>
  <c r="F26" i="3" s="1"/>
  <c r="G26" i="3" a="1"/>
  <c r="G26" i="3" s="1"/>
  <c r="H26" i="3" a="1"/>
  <c r="H26" i="3" s="1"/>
  <c r="F27" i="3" a="1"/>
  <c r="F27" i="3"/>
  <c r="G27" i="3" a="1"/>
  <c r="G27" i="3" s="1"/>
  <c r="H27" i="3" a="1"/>
  <c r="H27" i="3" s="1"/>
  <c r="F28" i="3" a="1"/>
  <c r="F28" i="3" s="1"/>
  <c r="G28" i="3" a="1"/>
  <c r="G28" i="3"/>
  <c r="H28" i="3" a="1"/>
  <c r="H28" i="3" s="1"/>
  <c r="F29" i="3" a="1"/>
  <c r="F29" i="3" s="1"/>
  <c r="G29" i="3" a="1"/>
  <c r="G29" i="3" s="1"/>
  <c r="H29" i="3" a="1"/>
  <c r="H29" i="3"/>
  <c r="F30" i="3" a="1"/>
  <c r="F30" i="3" s="1"/>
  <c r="G30" i="3" a="1"/>
  <c r="G30" i="3" s="1"/>
  <c r="H30" i="3" a="1"/>
  <c r="H30" i="3" s="1"/>
  <c r="F31" i="3" a="1"/>
  <c r="F31" i="3"/>
  <c r="G31" i="3" a="1"/>
  <c r="G31" i="3" s="1"/>
  <c r="H31" i="3" a="1"/>
  <c r="H31" i="3" s="1"/>
  <c r="F32" i="3" a="1"/>
  <c r="F32" i="3" s="1"/>
  <c r="G32" i="3" a="1"/>
  <c r="G32" i="3"/>
  <c r="H32" i="3" a="1"/>
  <c r="H32" i="3" s="1"/>
  <c r="F33" i="3" a="1"/>
  <c r="F33" i="3" s="1"/>
  <c r="G33" i="3" a="1"/>
  <c r="G33" i="3" s="1"/>
  <c r="H33" i="3" a="1"/>
  <c r="H33" i="3"/>
  <c r="F34" i="3" a="1"/>
  <c r="F34" i="3" s="1"/>
  <c r="G34" i="3" a="1"/>
  <c r="G34" i="3" s="1"/>
  <c r="H34" i="3" a="1"/>
  <c r="H34" i="3" s="1"/>
  <c r="F35" i="3" a="1"/>
  <c r="F35" i="3"/>
  <c r="G35" i="3" a="1"/>
  <c r="G35" i="3" s="1"/>
  <c r="H35" i="3" a="1"/>
  <c r="H35" i="3" s="1"/>
  <c r="F36" i="3" a="1"/>
  <c r="F36" i="3" s="1"/>
  <c r="G36" i="3" a="1"/>
  <c r="G36" i="3"/>
  <c r="H36" i="3" a="1"/>
  <c r="H36" i="3" s="1"/>
  <c r="F37" i="3" a="1"/>
  <c r="F37" i="3" s="1"/>
  <c r="G37" i="3" a="1"/>
  <c r="G37" i="3" s="1"/>
  <c r="H37" i="3" a="1"/>
  <c r="H37" i="3"/>
  <c r="F38" i="3" a="1"/>
  <c r="F38" i="3" s="1"/>
  <c r="G38" i="3" a="1"/>
  <c r="G38" i="3" s="1"/>
  <c r="H38" i="3" a="1"/>
  <c r="H38" i="3" s="1"/>
  <c r="F39" i="3" a="1"/>
  <c r="F39" i="3"/>
  <c r="G39" i="3" a="1"/>
  <c r="G39" i="3" s="1"/>
  <c r="H39" i="3" a="1"/>
  <c r="H39" i="3" s="1"/>
  <c r="F40" i="3" a="1"/>
  <c r="F40" i="3" s="1"/>
  <c r="G40" i="3" a="1"/>
  <c r="G40" i="3"/>
  <c r="H40" i="3" a="1"/>
  <c r="H40" i="3" s="1"/>
  <c r="F41" i="3" a="1"/>
  <c r="F41" i="3" s="1"/>
  <c r="G41" i="3" a="1"/>
  <c r="G41" i="3" s="1"/>
  <c r="H41" i="3" a="1"/>
  <c r="H41" i="3"/>
  <c r="F42" i="3" a="1"/>
  <c r="F42" i="3" s="1"/>
  <c r="G42" i="3" a="1"/>
  <c r="G42" i="3" s="1"/>
  <c r="H42" i="3" a="1"/>
  <c r="H42" i="3" s="1"/>
  <c r="F43" i="3" a="1"/>
  <c r="F43" i="3"/>
  <c r="G43" i="3" a="1"/>
  <c r="G43" i="3" s="1"/>
  <c r="H43" i="3" a="1"/>
  <c r="H43" i="3" s="1"/>
  <c r="F44" i="3" a="1"/>
  <c r="F44" i="3" s="1"/>
  <c r="G44" i="3" a="1"/>
  <c r="G44" i="3" s="1"/>
  <c r="H44" i="3" a="1"/>
  <c r="H44" i="3" s="1"/>
  <c r="F45" i="3" a="1"/>
  <c r="F45" i="3" s="1"/>
  <c r="G45" i="3" a="1"/>
  <c r="G45" i="3" s="1"/>
  <c r="H45" i="3" a="1"/>
  <c r="H45" i="3"/>
  <c r="F46" i="3" a="1"/>
  <c r="F46" i="3" s="1"/>
  <c r="G46" i="3" a="1"/>
  <c r="G46" i="3" s="1"/>
  <c r="H46" i="3" a="1"/>
  <c r="H46" i="3" s="1"/>
  <c r="F47" i="3" a="1"/>
  <c r="F47" i="3"/>
  <c r="G47" i="3" a="1"/>
  <c r="G47" i="3" s="1"/>
  <c r="H47" i="3" a="1"/>
  <c r="H47" i="3" s="1"/>
  <c r="F48" i="3" a="1"/>
  <c r="F48" i="3" s="1"/>
  <c r="G48" i="3" a="1"/>
  <c r="G48" i="3" s="1"/>
  <c r="H48" i="3" a="1"/>
  <c r="H48" i="3" s="1"/>
  <c r="F49" i="3" a="1"/>
  <c r="F49" i="3" s="1"/>
  <c r="G49" i="3" a="1"/>
  <c r="G49" i="3" s="1"/>
  <c r="H49" i="3" a="1"/>
  <c r="H49" i="3" s="1"/>
  <c r="F50" i="3" a="1"/>
  <c r="F50" i="3" s="1"/>
  <c r="G50" i="3" a="1"/>
  <c r="G50" i="3" s="1"/>
  <c r="H50" i="3" a="1"/>
  <c r="H50" i="3" s="1"/>
  <c r="F51" i="3" a="1"/>
  <c r="F51" i="3" s="1"/>
  <c r="G51" i="3" a="1"/>
  <c r="G51" i="3" s="1"/>
  <c r="H51" i="3" a="1"/>
  <c r="H51" i="3" s="1"/>
  <c r="F52" i="3" a="1"/>
  <c r="F52" i="3" s="1"/>
  <c r="G52" i="3" a="1"/>
  <c r="G52" i="3" s="1"/>
  <c r="H52" i="3" a="1"/>
  <c r="H52" i="3" s="1"/>
  <c r="F53" i="3" a="1"/>
  <c r="F53" i="3" s="1"/>
  <c r="G53" i="3" a="1"/>
  <c r="G53" i="3" s="1"/>
  <c r="H53" i="3" a="1"/>
  <c r="H53" i="3" s="1"/>
  <c r="F54" i="3" a="1"/>
  <c r="F54" i="3" s="1"/>
  <c r="G54" i="3" a="1"/>
  <c r="G54" i="3" s="1"/>
  <c r="H54" i="3" a="1"/>
  <c r="H54" i="3" s="1"/>
  <c r="F55" i="3" a="1"/>
  <c r="F55" i="3" s="1"/>
  <c r="G55" i="3" a="1"/>
  <c r="G55" i="3" s="1"/>
  <c r="H55" i="3" a="1"/>
  <c r="H55" i="3" s="1"/>
  <c r="F56" i="3" a="1"/>
  <c r="F56" i="3" s="1"/>
  <c r="G56" i="3" a="1"/>
  <c r="G56" i="3" s="1"/>
  <c r="H56" i="3" a="1"/>
  <c r="H56" i="3" s="1"/>
  <c r="F57" i="3" a="1"/>
  <c r="F57" i="3" s="1"/>
  <c r="G57" i="3" a="1"/>
  <c r="G57" i="3" s="1"/>
  <c r="H57" i="3" a="1"/>
  <c r="H57" i="3" s="1"/>
  <c r="F58" i="3" a="1"/>
  <c r="F58" i="3" s="1"/>
  <c r="G58" i="3" a="1"/>
  <c r="G58" i="3" s="1"/>
  <c r="H58" i="3" a="1"/>
  <c r="H58" i="3" s="1"/>
  <c r="F59" i="3" a="1"/>
  <c r="F59" i="3" s="1"/>
  <c r="G59" i="3" a="1"/>
  <c r="G59" i="3" s="1"/>
  <c r="H59" i="3" a="1"/>
  <c r="H59" i="3" s="1"/>
  <c r="F60" i="3" a="1"/>
  <c r="F60" i="3" s="1"/>
  <c r="G60" i="3" a="1"/>
  <c r="G60" i="3" s="1"/>
  <c r="H60" i="3" a="1"/>
  <c r="H60" i="3" s="1"/>
  <c r="F61" i="3" a="1"/>
  <c r="F61" i="3" s="1"/>
  <c r="G61" i="3" a="1"/>
  <c r="G61" i="3" s="1"/>
  <c r="H61" i="3" a="1"/>
  <c r="H61" i="3" s="1"/>
  <c r="F62" i="3" a="1"/>
  <c r="F62" i="3" s="1"/>
  <c r="G62" i="3" a="1"/>
  <c r="G62" i="3" s="1"/>
  <c r="H62" i="3" a="1"/>
  <c r="H62" i="3" s="1"/>
  <c r="F63" i="3" a="1"/>
  <c r="F63" i="3" s="1"/>
  <c r="G63" i="3" a="1"/>
  <c r="G63" i="3" s="1"/>
  <c r="H63" i="3" a="1"/>
  <c r="H63" i="3" s="1"/>
  <c r="F64" i="3" a="1"/>
  <c r="F64" i="3" s="1"/>
  <c r="G64" i="3" a="1"/>
  <c r="G64" i="3" s="1"/>
  <c r="H64" i="3" a="1"/>
  <c r="H64" i="3" s="1"/>
  <c r="F65" i="3" a="1"/>
  <c r="F65" i="3" s="1"/>
  <c r="G65" i="3" a="1"/>
  <c r="G65" i="3" s="1"/>
  <c r="H65" i="3" a="1"/>
  <c r="H65" i="3" s="1"/>
  <c r="F66" i="3" a="1"/>
  <c r="F66" i="3" s="1"/>
  <c r="G66" i="3" a="1"/>
  <c r="G66" i="3" s="1"/>
  <c r="H66" i="3" a="1"/>
  <c r="H66" i="3" s="1"/>
  <c r="F67" i="3" a="1"/>
  <c r="F67" i="3" s="1"/>
  <c r="G67" i="3" a="1"/>
  <c r="G67" i="3" s="1"/>
  <c r="H67" i="3" a="1"/>
  <c r="H67" i="3" s="1"/>
  <c r="F68" i="3" a="1"/>
  <c r="F68" i="3" s="1"/>
  <c r="G68" i="3" a="1"/>
  <c r="G68" i="3" s="1"/>
  <c r="H68" i="3" a="1"/>
  <c r="H68" i="3" s="1"/>
  <c r="F69" i="3" a="1"/>
  <c r="F69" i="3" s="1"/>
  <c r="G69" i="3" a="1"/>
  <c r="G69" i="3" s="1"/>
  <c r="H69" i="3" a="1"/>
  <c r="H69" i="3" s="1"/>
  <c r="F70" i="3" a="1"/>
  <c r="F70" i="3" s="1"/>
  <c r="G70" i="3" a="1"/>
  <c r="G70" i="3" s="1"/>
  <c r="H70" i="3" a="1"/>
  <c r="H70" i="3" s="1"/>
  <c r="F71" i="3" a="1"/>
  <c r="F71" i="3" s="1"/>
  <c r="G71" i="3" a="1"/>
  <c r="G71" i="3" s="1"/>
  <c r="H71" i="3" a="1"/>
  <c r="H71" i="3" s="1"/>
  <c r="F72" i="3" a="1"/>
  <c r="F72" i="3" s="1"/>
  <c r="G72" i="3" a="1"/>
  <c r="G72" i="3" s="1"/>
  <c r="H72" i="3" a="1"/>
  <c r="H72" i="3" s="1"/>
  <c r="F73" i="3" a="1"/>
  <c r="F73" i="3" s="1"/>
  <c r="G73" i="3" a="1"/>
  <c r="G73" i="3" s="1"/>
  <c r="H73" i="3" a="1"/>
  <c r="H73" i="3" s="1"/>
  <c r="F74" i="3" a="1"/>
  <c r="F74" i="3" s="1"/>
  <c r="G74" i="3" a="1"/>
  <c r="G74" i="3" s="1"/>
  <c r="H74" i="3" a="1"/>
  <c r="H74" i="3" s="1"/>
  <c r="F75" i="3" a="1"/>
  <c r="F75" i="3" s="1"/>
  <c r="G75" i="3" a="1"/>
  <c r="G75" i="3" s="1"/>
  <c r="H75" i="3" a="1"/>
  <c r="H75" i="3" s="1"/>
  <c r="F76" i="3" a="1"/>
  <c r="F76" i="3" s="1"/>
  <c r="G76" i="3" a="1"/>
  <c r="G76" i="3" s="1"/>
  <c r="H76" i="3" a="1"/>
  <c r="H76" i="3" s="1"/>
  <c r="F77" i="3" a="1"/>
  <c r="F77" i="3" s="1"/>
  <c r="G77" i="3" a="1"/>
  <c r="G77" i="3" s="1"/>
  <c r="H77" i="3" a="1"/>
  <c r="H77" i="3" s="1"/>
  <c r="F78" i="3" a="1"/>
  <c r="F78" i="3" s="1"/>
  <c r="G78" i="3" a="1"/>
  <c r="G78" i="3" s="1"/>
  <c r="H78" i="3" a="1"/>
  <c r="H78" i="3" s="1"/>
  <c r="F79" i="3" a="1"/>
  <c r="F79" i="3" s="1"/>
  <c r="G79" i="3" a="1"/>
  <c r="G79" i="3" s="1"/>
  <c r="H79" i="3" a="1"/>
  <c r="H79" i="3" s="1"/>
  <c r="F80" i="3" a="1"/>
  <c r="F80" i="3" s="1"/>
  <c r="G80" i="3" a="1"/>
  <c r="G80" i="3" s="1"/>
  <c r="H80" i="3" a="1"/>
  <c r="H80" i="3" s="1"/>
  <c r="F81" i="3" a="1"/>
  <c r="F81" i="3" s="1"/>
  <c r="G81" i="3" a="1"/>
  <c r="G81" i="3" s="1"/>
  <c r="H81" i="3" a="1"/>
  <c r="H81" i="3" s="1"/>
  <c r="F82" i="3" a="1"/>
  <c r="F82" i="3" s="1"/>
  <c r="G82" i="3" a="1"/>
  <c r="G82" i="3" s="1"/>
  <c r="H82" i="3" a="1"/>
  <c r="H82" i="3" s="1"/>
  <c r="F83" i="3" a="1"/>
  <c r="F83" i="3" s="1"/>
  <c r="G83" i="3" a="1"/>
  <c r="G83" i="3" s="1"/>
  <c r="H83" i="3" a="1"/>
  <c r="H83" i="3" s="1"/>
  <c r="F5" i="4" a="1"/>
  <c r="F5" i="4" s="1"/>
  <c r="G5" i="4" a="1"/>
  <c r="G5" i="4"/>
  <c r="H5" i="4" a="1"/>
  <c r="H5" i="4"/>
  <c r="F6" i="4" a="1"/>
  <c r="F6" i="4"/>
  <c r="G6" i="4" a="1"/>
  <c r="G6" i="4" s="1"/>
  <c r="H6" i="4" a="1"/>
  <c r="H6" i="4"/>
  <c r="F7" i="4" a="1"/>
  <c r="F7" i="4"/>
  <c r="G7" i="4" a="1"/>
  <c r="G7" i="4"/>
  <c r="H7" i="4" a="1"/>
  <c r="H7" i="4" s="1"/>
  <c r="F8" i="4" a="1"/>
  <c r="F8" i="4"/>
  <c r="G8" i="4" a="1"/>
  <c r="G8" i="4"/>
  <c r="H8" i="4" a="1"/>
  <c r="H8" i="4"/>
  <c r="F9" i="4" a="1"/>
  <c r="F9" i="4" s="1"/>
  <c r="G9" i="4" a="1"/>
  <c r="G9" i="4"/>
  <c r="H9" i="4" a="1"/>
  <c r="H9" i="4"/>
  <c r="F4" i="40" a="1"/>
  <c r="F4" i="40" s="1"/>
  <c r="G4" i="40" a="1"/>
  <c r="G4" i="40" s="1"/>
  <c r="H4" i="40" a="1"/>
  <c r="H4" i="40" s="1"/>
  <c r="H5" i="72" a="1"/>
  <c r="H5" i="72" s="1"/>
  <c r="G5" i="72" a="1"/>
  <c r="G5" i="72" s="1"/>
  <c r="F5" i="72" a="1"/>
  <c r="F5" i="72" s="1"/>
  <c r="F28" i="39" a="1"/>
  <c r="F28" i="39" s="1"/>
  <c r="G28" i="39" a="1"/>
  <c r="G28" i="39" s="1"/>
  <c r="H28" i="39" a="1"/>
  <c r="H28" i="39" s="1"/>
  <c r="F27" i="39" a="1"/>
  <c r="F27" i="39" s="1"/>
  <c r="G27" i="39" a="1"/>
  <c r="G27" i="39" s="1"/>
  <c r="H27" i="39" a="1"/>
  <c r="H27" i="39" s="1"/>
  <c r="F26" i="39" a="1"/>
  <c r="F26" i="39" s="1"/>
  <c r="G26" i="39" a="1"/>
  <c r="G26" i="39" s="1"/>
  <c r="H26" i="39" a="1"/>
  <c r="H26" i="39" s="1"/>
  <c r="F25" i="39" a="1"/>
  <c r="F25" i="39" s="1"/>
  <c r="G25" i="39" a="1"/>
  <c r="G25" i="39" s="1"/>
  <c r="H25" i="39" a="1"/>
  <c r="H25" i="39" s="1"/>
  <c r="F24" i="39" a="1"/>
  <c r="F24" i="39" s="1"/>
  <c r="G24" i="39" a="1"/>
  <c r="G24" i="39" s="1"/>
  <c r="H24" i="39" a="1"/>
  <c r="H24" i="39" s="1"/>
  <c r="F23" i="39" a="1"/>
  <c r="F23" i="39" s="1"/>
  <c r="G23" i="39" a="1"/>
  <c r="G23" i="39" s="1"/>
  <c r="H23" i="39" a="1"/>
  <c r="H23" i="39" s="1"/>
  <c r="F22" i="39" a="1"/>
  <c r="F22" i="39" s="1"/>
  <c r="G22" i="39" a="1"/>
  <c r="G22" i="39" s="1"/>
  <c r="H22" i="39" a="1"/>
  <c r="H22" i="39" s="1"/>
  <c r="F21" i="39" a="1"/>
  <c r="F21" i="39" s="1"/>
  <c r="G21" i="39" a="1"/>
  <c r="G21" i="39" s="1"/>
  <c r="H21" i="39" a="1"/>
  <c r="H21" i="39" s="1"/>
  <c r="F20" i="39" a="1"/>
  <c r="F20" i="39" s="1"/>
  <c r="G20" i="39" a="1"/>
  <c r="G20" i="39" s="1"/>
  <c r="H20" i="39" a="1"/>
  <c r="H20" i="39" s="1"/>
  <c r="F19" i="39" a="1"/>
  <c r="F19" i="39" s="1"/>
  <c r="G19" i="39" a="1"/>
  <c r="G19" i="39" s="1"/>
  <c r="H19" i="39" a="1"/>
  <c r="H19" i="39" s="1"/>
  <c r="F18" i="39" a="1"/>
  <c r="F18" i="39" s="1"/>
  <c r="G18" i="39" a="1"/>
  <c r="G18" i="39" s="1"/>
  <c r="H18" i="39" a="1"/>
  <c r="H18" i="39" s="1"/>
  <c r="F17" i="39" a="1"/>
  <c r="F17" i="39" s="1"/>
  <c r="G17" i="39" a="1"/>
  <c r="G17" i="39" s="1"/>
  <c r="H17" i="39" a="1"/>
  <c r="H17" i="39" s="1"/>
  <c r="F16" i="39" a="1"/>
  <c r="F16" i="39" s="1"/>
  <c r="G16" i="39" a="1"/>
  <c r="G16" i="39" s="1"/>
  <c r="H16" i="39" a="1"/>
  <c r="H16" i="39" s="1"/>
  <c r="F15" i="39" a="1"/>
  <c r="F15" i="39" s="1"/>
  <c r="G15" i="39" a="1"/>
  <c r="G15" i="39" s="1"/>
  <c r="H15" i="39" a="1"/>
  <c r="H15" i="39" s="1"/>
  <c r="F14" i="39" a="1"/>
  <c r="F14" i="39" s="1"/>
  <c r="G14" i="39" a="1"/>
  <c r="G14" i="39" s="1"/>
  <c r="H14" i="39" a="1"/>
  <c r="H14" i="39" s="1"/>
  <c r="F13" i="39" a="1"/>
  <c r="F13" i="39" s="1"/>
  <c r="G13" i="39" a="1"/>
  <c r="G13" i="39" s="1"/>
  <c r="H13" i="39" a="1"/>
  <c r="H13" i="39" s="1"/>
  <c r="F12" i="39" a="1"/>
  <c r="F12" i="39" s="1"/>
  <c r="G12" i="39" a="1"/>
  <c r="G12" i="39" s="1"/>
  <c r="H12" i="39" a="1"/>
  <c r="H12" i="39" s="1"/>
  <c r="F11" i="39" a="1"/>
  <c r="F11" i="39" s="1"/>
  <c r="G11" i="39" a="1"/>
  <c r="G11" i="39" s="1"/>
  <c r="H11" i="39" a="1"/>
  <c r="H11" i="39" s="1"/>
  <c r="F10" i="39" a="1"/>
  <c r="F10" i="39" s="1"/>
  <c r="G10" i="39" a="1"/>
  <c r="G10" i="39" s="1"/>
  <c r="H10" i="39" a="1"/>
  <c r="H10" i="39" s="1"/>
  <c r="F9" i="39" a="1"/>
  <c r="F9" i="39" s="1"/>
  <c r="G9" i="39" a="1"/>
  <c r="G9" i="39" s="1"/>
  <c r="H9" i="39" a="1"/>
  <c r="H9" i="39" s="1"/>
  <c r="F8" i="39" a="1"/>
  <c r="F8" i="39" s="1"/>
  <c r="G8" i="39" a="1"/>
  <c r="G8" i="39" s="1"/>
  <c r="H8" i="39" a="1"/>
  <c r="H8" i="39" s="1"/>
  <c r="F7" i="39" a="1"/>
  <c r="F7" i="39" s="1"/>
  <c r="G7" i="39" a="1"/>
  <c r="G7" i="39" s="1"/>
  <c r="H7" i="39" a="1"/>
  <c r="H7" i="39" s="1"/>
  <c r="F6" i="39" a="1"/>
  <c r="F6" i="39" s="1"/>
  <c r="G6" i="39" a="1"/>
  <c r="G6" i="39" s="1"/>
  <c r="H6" i="39" a="1"/>
  <c r="H6" i="39" s="1"/>
  <c r="F5" i="39" a="1"/>
  <c r="F5" i="39" s="1"/>
  <c r="G5" i="39" a="1"/>
  <c r="G5" i="39" s="1"/>
  <c r="H5" i="39" a="1"/>
  <c r="H5" i="39" s="1"/>
  <c r="F5" i="71" a="1"/>
  <c r="F5" i="71" s="1"/>
  <c r="F6" i="71" a="1"/>
  <c r="F6" i="71" s="1"/>
  <c r="F7" i="71" a="1"/>
  <c r="F7" i="71" s="1"/>
  <c r="F8" i="71" a="1"/>
  <c r="F8" i="71" s="1"/>
  <c r="F9" i="71" a="1"/>
  <c r="F9" i="71" s="1"/>
  <c r="F10" i="71" a="1"/>
  <c r="F10" i="71" s="1"/>
  <c r="F11" i="71" a="1"/>
  <c r="F11" i="71" s="1"/>
  <c r="F12" i="71" a="1"/>
  <c r="F12" i="71" s="1"/>
  <c r="F13" i="71" a="1"/>
  <c r="F13" i="71" s="1"/>
  <c r="F14" i="71" a="1"/>
  <c r="F14" i="71" s="1"/>
  <c r="F15" i="71" a="1"/>
  <c r="F15" i="71" s="1"/>
  <c r="F16" i="71" a="1"/>
  <c r="F16" i="71" s="1"/>
  <c r="F17" i="71" a="1"/>
  <c r="F17" i="71" s="1"/>
  <c r="F18" i="71" a="1"/>
  <c r="F18" i="71" s="1"/>
  <c r="F19" i="71" a="1"/>
  <c r="F19" i="71" s="1"/>
  <c r="F20" i="71" a="1"/>
  <c r="F20" i="71" s="1"/>
  <c r="F21" i="71" a="1"/>
  <c r="F21" i="71" s="1"/>
  <c r="F22" i="71" a="1"/>
  <c r="F22" i="71" s="1"/>
  <c r="F23" i="71" a="1"/>
  <c r="F23" i="71" s="1"/>
  <c r="F24" i="71" a="1"/>
  <c r="F24" i="71" s="1"/>
  <c r="F25" i="71" a="1"/>
  <c r="F25" i="71" s="1"/>
  <c r="F26" i="71" a="1"/>
  <c r="F26" i="71" s="1"/>
  <c r="F27" i="71" a="1"/>
  <c r="F27" i="71" s="1"/>
  <c r="F28" i="71" a="1"/>
  <c r="F28" i="71" s="1"/>
  <c r="F29" i="71" a="1"/>
  <c r="F29" i="71" s="1"/>
  <c r="F5" i="70" a="1"/>
  <c r="F5" i="70" s="1"/>
  <c r="F6" i="70" a="1"/>
  <c r="F6" i="70" s="1"/>
  <c r="F5" i="69" a="1"/>
  <c r="F5" i="69" s="1"/>
  <c r="F6" i="69" a="1"/>
  <c r="F6" i="69" s="1"/>
  <c r="F7" i="69" a="1"/>
  <c r="F7" i="69" s="1"/>
  <c r="F8" i="69" a="1"/>
  <c r="F8" i="69" s="1"/>
  <c r="F9" i="69" a="1"/>
  <c r="F9" i="69" s="1"/>
  <c r="F10" i="69" a="1"/>
  <c r="F10" i="69" s="1"/>
  <c r="F11" i="69" a="1"/>
  <c r="F11" i="69" s="1"/>
  <c r="F12" i="69" a="1"/>
  <c r="F12" i="69" s="1"/>
  <c r="F13" i="69" a="1"/>
  <c r="F13" i="69" s="1"/>
  <c r="F14" i="69" a="1"/>
  <c r="F14" i="69" s="1"/>
  <c r="F15" i="69" a="1"/>
  <c r="F15" i="69" s="1"/>
  <c r="F16" i="69" a="1"/>
  <c r="F16" i="69" s="1"/>
  <c r="F17" i="69" a="1"/>
  <c r="F17" i="69" s="1"/>
  <c r="F18" i="69" a="1"/>
  <c r="F18" i="69" s="1"/>
  <c r="F19" i="69" a="1"/>
  <c r="F19" i="69" s="1"/>
  <c r="F20" i="69" a="1"/>
  <c r="F20" i="69" s="1"/>
  <c r="F21" i="69" a="1"/>
  <c r="F21" i="69" s="1"/>
  <c r="F22" i="69" a="1"/>
  <c r="F22" i="69" s="1"/>
  <c r="F23" i="69" a="1"/>
  <c r="F23" i="69" s="1"/>
  <c r="F24" i="69" a="1"/>
  <c r="F24" i="69" s="1"/>
  <c r="F25" i="69" a="1"/>
  <c r="F25" i="69" s="1"/>
  <c r="F26" i="69" a="1"/>
  <c r="F26" i="69" s="1"/>
  <c r="F27" i="69" a="1"/>
  <c r="F27" i="69" s="1"/>
  <c r="F28" i="69" a="1"/>
  <c r="F28" i="69" s="1"/>
  <c r="F29" i="69" a="1"/>
  <c r="F29" i="69" s="1"/>
  <c r="F30" i="69" a="1"/>
  <c r="F30" i="69" s="1"/>
  <c r="F31" i="69" a="1"/>
  <c r="F31" i="69" s="1"/>
  <c r="F32" i="69" a="1"/>
  <c r="F32" i="69" s="1"/>
  <c r="F33" i="69" a="1"/>
  <c r="F33" i="69" s="1"/>
  <c r="F34" i="69" a="1"/>
  <c r="F34" i="69" s="1"/>
  <c r="F35" i="69" a="1"/>
  <c r="F35" i="69" s="1"/>
  <c r="F36" i="69" a="1"/>
  <c r="F36" i="69" s="1"/>
  <c r="F37" i="69" a="1"/>
  <c r="F37" i="69" s="1"/>
  <c r="F38" i="69" a="1"/>
  <c r="F38" i="69" s="1"/>
  <c r="F39" i="69" a="1"/>
  <c r="F39" i="69" s="1"/>
  <c r="F40" i="69" a="1"/>
  <c r="F40" i="69" s="1"/>
  <c r="F41" i="69" a="1"/>
  <c r="F41" i="69" s="1"/>
  <c r="F42" i="69" a="1"/>
  <c r="F42" i="69" s="1"/>
  <c r="F43" i="69" a="1"/>
  <c r="F43" i="69" s="1"/>
  <c r="F44" i="69" a="1"/>
  <c r="F44" i="69" s="1"/>
  <c r="F45" i="69" a="1"/>
  <c r="F45" i="69" s="1"/>
  <c r="F46" i="69" a="1"/>
  <c r="F46" i="69" s="1"/>
  <c r="F47" i="69" a="1"/>
  <c r="F47" i="69" s="1"/>
  <c r="F48" i="69" a="1"/>
  <c r="F48" i="69" s="1"/>
  <c r="F49" i="69" a="1"/>
  <c r="F49" i="69" s="1"/>
  <c r="F50" i="69" a="1"/>
  <c r="F50" i="69" s="1"/>
  <c r="F51" i="69" a="1"/>
  <c r="F51" i="69" s="1"/>
  <c r="F52" i="69" a="1"/>
  <c r="F52" i="69" s="1"/>
  <c r="F53" i="69" a="1"/>
  <c r="F53" i="69" s="1"/>
  <c r="F54" i="69" a="1"/>
  <c r="F54" i="69" s="1"/>
  <c r="F55" i="69" a="1"/>
  <c r="F55" i="69" s="1"/>
  <c r="F56" i="69" a="1"/>
  <c r="F56" i="69" s="1"/>
  <c r="F57" i="69" a="1"/>
  <c r="F57" i="69" s="1"/>
  <c r="F58" i="69" a="1"/>
  <c r="F58" i="69" s="1"/>
  <c r="F5" i="68" a="1"/>
  <c r="F5" i="68" s="1"/>
  <c r="F6" i="68" a="1"/>
  <c r="F6" i="68" s="1"/>
  <c r="F7" i="68" a="1"/>
  <c r="F7" i="68" s="1"/>
  <c r="F8" i="68" a="1"/>
  <c r="F8" i="68" s="1"/>
  <c r="F9" i="68" a="1"/>
  <c r="F9" i="68" s="1"/>
  <c r="F10" i="68" a="1"/>
  <c r="F10" i="68" s="1"/>
  <c r="F11" i="68" a="1"/>
  <c r="F11" i="68" s="1"/>
  <c r="F12" i="68" a="1"/>
  <c r="F12" i="68" s="1"/>
  <c r="F13" i="68" a="1"/>
  <c r="F13" i="68" s="1"/>
  <c r="F14" i="68" a="1"/>
  <c r="F14" i="68" s="1"/>
  <c r="F15" i="68" a="1"/>
  <c r="F15" i="68" s="1"/>
  <c r="F16" i="68" a="1"/>
  <c r="F16" i="68" s="1"/>
  <c r="F17" i="68" a="1"/>
  <c r="F17" i="68" s="1"/>
  <c r="F18" i="68" a="1"/>
  <c r="F18" i="68" s="1"/>
  <c r="F19" i="68" a="1"/>
  <c r="F19" i="68" s="1"/>
  <c r="F20" i="68" a="1"/>
  <c r="F20" i="68" s="1"/>
  <c r="F21" i="68" a="1"/>
  <c r="F21" i="68" s="1"/>
  <c r="F22" i="68" a="1"/>
  <c r="F22" i="68" s="1"/>
  <c r="F23" i="68" a="1"/>
  <c r="F23" i="68" s="1"/>
  <c r="F24" i="68" a="1"/>
  <c r="F24" i="68" s="1"/>
  <c r="F25" i="68" a="1"/>
  <c r="F25" i="68" s="1"/>
  <c r="F26" i="68" a="1"/>
  <c r="F26" i="68" s="1"/>
  <c r="F27" i="68" a="1"/>
  <c r="F27" i="68" s="1"/>
  <c r="F28" i="68" a="1"/>
  <c r="F28" i="68" s="1"/>
  <c r="F29" i="68" a="1"/>
  <c r="F29" i="68" s="1"/>
  <c r="F30" i="68" a="1"/>
  <c r="F30" i="68" s="1"/>
  <c r="F31" i="68" a="1"/>
  <c r="F31" i="68" s="1"/>
  <c r="F32" i="68" a="1"/>
  <c r="F32" i="68" s="1"/>
  <c r="F33" i="68" a="1"/>
  <c r="F33" i="68" s="1"/>
  <c r="F34" i="68" a="1"/>
  <c r="F34" i="68" s="1"/>
  <c r="F35" i="68" a="1"/>
  <c r="F35" i="68" s="1"/>
  <c r="F36" i="68" a="1"/>
  <c r="F36" i="68" s="1"/>
  <c r="F37" i="68" a="1"/>
  <c r="F37" i="68" s="1"/>
  <c r="F38" i="68" a="1"/>
  <c r="F38" i="68" s="1"/>
  <c r="F39" i="68" a="1"/>
  <c r="F39" i="68" s="1"/>
  <c r="F40" i="68" a="1"/>
  <c r="F40" i="68" s="1"/>
  <c r="F41" i="68" a="1"/>
  <c r="F41" i="68" s="1"/>
  <c r="F42" i="68" a="1"/>
  <c r="F42" i="68" s="1"/>
  <c r="F43" i="68" a="1"/>
  <c r="F43" i="68" s="1"/>
  <c r="F44" i="68" a="1"/>
  <c r="F44" i="68" s="1"/>
  <c r="F45" i="68" a="1"/>
  <c r="F45" i="68" s="1"/>
  <c r="F5" i="67" a="1"/>
  <c r="F5" i="67" s="1"/>
  <c r="F6" i="67" a="1"/>
  <c r="F6" i="67" s="1"/>
  <c r="F7" i="67" a="1"/>
  <c r="F7" i="67" s="1"/>
  <c r="F8" i="67" a="1"/>
  <c r="F8" i="67" s="1"/>
  <c r="F9" i="67" a="1"/>
  <c r="F9" i="67" s="1"/>
  <c r="F10" i="67" a="1"/>
  <c r="F10" i="67" s="1"/>
  <c r="F11" i="67" a="1"/>
  <c r="F11" i="67" s="1"/>
  <c r="F12" i="67" a="1"/>
  <c r="F12" i="67" s="1"/>
  <c r="F13" i="67" a="1"/>
  <c r="F13" i="67" s="1"/>
  <c r="F14" i="67" a="1"/>
  <c r="F14" i="67" s="1"/>
  <c r="F15" i="67" a="1"/>
  <c r="F15" i="67" s="1"/>
  <c r="F16" i="67" a="1"/>
  <c r="F16" i="67" s="1"/>
  <c r="F17" i="67" a="1"/>
  <c r="F17" i="67" s="1"/>
  <c r="F18" i="67" a="1"/>
  <c r="F18" i="67" s="1"/>
  <c r="F19" i="67" a="1"/>
  <c r="F19" i="67" s="1"/>
  <c r="F20" i="67" a="1"/>
  <c r="F20" i="67" s="1"/>
  <c r="F21" i="67" a="1"/>
  <c r="F21" i="67" s="1"/>
  <c r="F22" i="67" a="1"/>
  <c r="F22" i="67" s="1"/>
  <c r="F5" i="66" a="1"/>
  <c r="F5" i="66" s="1"/>
  <c r="F6" i="66" a="1"/>
  <c r="F6" i="66" s="1"/>
  <c r="F7" i="66" a="1"/>
  <c r="F7" i="66" s="1"/>
  <c r="F8" i="66" a="1"/>
  <c r="F8" i="66" s="1"/>
  <c r="F9" i="66" a="1"/>
  <c r="F9" i="66" s="1"/>
  <c r="F10" i="66" a="1"/>
  <c r="F10" i="66" s="1"/>
  <c r="F11" i="66" a="1"/>
  <c r="F11" i="66" s="1"/>
  <c r="F12" i="66" a="1"/>
  <c r="F12" i="66" s="1"/>
  <c r="F13" i="66" a="1"/>
  <c r="F13" i="66" s="1"/>
  <c r="F14" i="66" a="1"/>
  <c r="F14" i="66" s="1"/>
  <c r="F15" i="66" a="1"/>
  <c r="F15" i="66" s="1"/>
  <c r="F16" i="66" a="1"/>
  <c r="F16" i="66" s="1"/>
  <c r="F17" i="66" a="1"/>
  <c r="F17" i="66" s="1"/>
  <c r="F18" i="66" a="1"/>
  <c r="F18" i="66" s="1"/>
  <c r="F19" i="66" a="1"/>
  <c r="F19" i="66" s="1"/>
  <c r="F20" i="66" a="1"/>
  <c r="F20" i="66" s="1"/>
  <c r="F21" i="66" a="1"/>
  <c r="F21" i="66" s="1"/>
  <c r="F22" i="66" a="1"/>
  <c r="F22" i="66" s="1"/>
  <c r="F23" i="66" a="1"/>
  <c r="F23" i="66" s="1"/>
  <c r="F5" i="65" a="1"/>
  <c r="F5" i="65" s="1"/>
  <c r="F6" i="65" a="1"/>
  <c r="F6" i="65" s="1"/>
  <c r="F7" i="65" a="1"/>
  <c r="F7" i="65" s="1"/>
  <c r="F8" i="65" a="1"/>
  <c r="F8" i="65" s="1"/>
  <c r="F9" i="65" a="1"/>
  <c r="F9" i="65" s="1"/>
  <c r="F10" i="65" a="1"/>
  <c r="F10" i="65" s="1"/>
  <c r="F11" i="65" a="1"/>
  <c r="F11" i="65" s="1"/>
  <c r="F12" i="65" a="1"/>
  <c r="F12" i="65" s="1"/>
  <c r="F13" i="65" a="1"/>
  <c r="F13" i="65" s="1"/>
  <c r="F14" i="65" a="1"/>
  <c r="F14" i="65" s="1"/>
  <c r="F15" i="65" a="1"/>
  <c r="F15" i="65" s="1"/>
  <c r="F16" i="65" a="1"/>
  <c r="F16" i="65" s="1"/>
  <c r="F17" i="65" a="1"/>
  <c r="F17" i="65" s="1"/>
  <c r="F18" i="65" a="1"/>
  <c r="F18" i="65" s="1"/>
  <c r="F19" i="65" a="1"/>
  <c r="F19" i="65" s="1"/>
  <c r="F20" i="65" a="1"/>
  <c r="F20" i="65" s="1"/>
  <c r="F21" i="65" a="1"/>
  <c r="F21" i="65" s="1"/>
  <c r="F22" i="65" a="1"/>
  <c r="F22" i="65" s="1"/>
  <c r="F23" i="65" a="1"/>
  <c r="F23" i="65" s="1"/>
  <c r="F24" i="65" a="1"/>
  <c r="F24" i="65" s="1"/>
  <c r="F25" i="65" a="1"/>
  <c r="F25" i="65" s="1"/>
  <c r="F26" i="65" a="1"/>
  <c r="F26" i="65" s="1"/>
  <c r="F27" i="65" a="1"/>
  <c r="F27" i="65" s="1"/>
  <c r="F28" i="65" a="1"/>
  <c r="F28" i="65" s="1"/>
  <c r="F29" i="65" a="1"/>
  <c r="F29" i="65" s="1"/>
  <c r="F30" i="65" a="1"/>
  <c r="F30" i="65" s="1"/>
  <c r="F31" i="65" a="1"/>
  <c r="F31" i="65" s="1"/>
  <c r="F5" i="64" a="1"/>
  <c r="F5" i="64" s="1"/>
  <c r="F6" i="64" a="1"/>
  <c r="F6" i="64" s="1"/>
  <c r="F7" i="64" a="1"/>
  <c r="F7" i="64" s="1"/>
  <c r="F8" i="64" a="1"/>
  <c r="F8" i="64" s="1"/>
  <c r="F9" i="64" a="1"/>
  <c r="F9" i="64" s="1"/>
  <c r="F10" i="64" a="1"/>
  <c r="F10" i="64" s="1"/>
  <c r="F11" i="64" a="1"/>
  <c r="F11" i="64" s="1"/>
  <c r="F12" i="64" a="1"/>
  <c r="F12" i="64" s="1"/>
  <c r="F13" i="64" a="1"/>
  <c r="F13" i="64" s="1"/>
  <c r="F14" i="64" a="1"/>
  <c r="F14" i="64" s="1"/>
  <c r="F15" i="64" a="1"/>
  <c r="F15" i="64" s="1"/>
  <c r="F16" i="64" a="1"/>
  <c r="F16" i="64" s="1"/>
  <c r="F17" i="64" a="1"/>
  <c r="F17" i="64" s="1"/>
  <c r="F18" i="64" a="1"/>
  <c r="F18" i="64" s="1"/>
  <c r="F19" i="64" a="1"/>
  <c r="F19" i="64" s="1"/>
  <c r="F20" i="64" a="1"/>
  <c r="F20" i="64" s="1"/>
  <c r="F21" i="64" a="1"/>
  <c r="F21" i="64" s="1"/>
  <c r="F22" i="64" a="1"/>
  <c r="F22" i="64" s="1"/>
  <c r="F23" i="64" a="1"/>
  <c r="F23" i="64" s="1"/>
  <c r="F24" i="64" a="1"/>
  <c r="F24" i="64" s="1"/>
  <c r="F25" i="64" a="1"/>
  <c r="F25" i="64" s="1"/>
  <c r="F26" i="64" a="1"/>
  <c r="F26" i="64" s="1"/>
  <c r="F27" i="64" a="1"/>
  <c r="F27" i="64" s="1"/>
  <c r="F28" i="64" a="1"/>
  <c r="F28" i="64" s="1"/>
  <c r="F29" i="64" a="1"/>
  <c r="F29" i="64" s="1"/>
  <c r="F30" i="64" a="1"/>
  <c r="F30" i="64" s="1"/>
  <c r="F31" i="64" a="1"/>
  <c r="F31" i="64" s="1"/>
  <c r="F32" i="64" a="1"/>
  <c r="F32" i="64" s="1"/>
  <c r="F33" i="64" a="1"/>
  <c r="F33" i="64" s="1"/>
  <c r="F34" i="64" a="1"/>
  <c r="F34" i="64" s="1"/>
  <c r="F35" i="64" a="1"/>
  <c r="F35" i="64" s="1"/>
  <c r="F36" i="64" a="1"/>
  <c r="F36" i="64" s="1"/>
  <c r="F37" i="64" a="1"/>
  <c r="F37" i="64" s="1"/>
  <c r="F38" i="64" a="1"/>
  <c r="F38" i="64" s="1"/>
  <c r="F39" i="64" a="1"/>
  <c r="F39" i="64" s="1"/>
  <c r="F40" i="64" a="1"/>
  <c r="F40" i="64" s="1"/>
  <c r="F41" i="64" a="1"/>
  <c r="F41" i="64" s="1"/>
  <c r="F42" i="64" a="1"/>
  <c r="F42" i="64" s="1"/>
  <c r="F43" i="64" a="1"/>
  <c r="F43" i="64" s="1"/>
  <c r="F44" i="64" a="1"/>
  <c r="F44" i="64" s="1"/>
  <c r="F45" i="64" a="1"/>
  <c r="F45" i="64" s="1"/>
  <c r="F46" i="64" a="1"/>
  <c r="F46" i="64" s="1"/>
  <c r="F47" i="64" a="1"/>
  <c r="F47" i="64" s="1"/>
  <c r="F48" i="64" a="1"/>
  <c r="F48" i="64" s="1"/>
  <c r="F5" i="63" a="1"/>
  <c r="F5" i="63" s="1"/>
  <c r="F6" i="63" a="1"/>
  <c r="F6" i="63" s="1"/>
  <c r="F7" i="63" a="1"/>
  <c r="F7" i="63" s="1"/>
  <c r="F8" i="63" a="1"/>
  <c r="F8" i="63" s="1"/>
  <c r="F9" i="63" a="1"/>
  <c r="F9" i="63" s="1"/>
  <c r="F10" i="63" a="1"/>
  <c r="F10" i="63" s="1"/>
  <c r="F5" i="62" a="1"/>
  <c r="F5" i="62" s="1"/>
  <c r="F6" i="62" a="1"/>
  <c r="F6" i="62" s="1"/>
  <c r="F7" i="62" a="1"/>
  <c r="F7" i="62" s="1"/>
  <c r="F8" i="62" a="1"/>
  <c r="F8" i="62" s="1"/>
  <c r="F9" i="62" a="1"/>
  <c r="F9" i="62" s="1"/>
  <c r="F10" i="62" a="1"/>
  <c r="F10" i="62" s="1"/>
  <c r="F11" i="62" a="1"/>
  <c r="F11" i="62" s="1"/>
  <c r="F12" i="62" a="1"/>
  <c r="F12" i="62" s="1"/>
  <c r="F13" i="62" a="1"/>
  <c r="F13" i="62" s="1"/>
  <c r="F5" i="61" a="1"/>
  <c r="F5" i="61" s="1"/>
  <c r="F5" i="60" a="1"/>
  <c r="F5" i="60" s="1"/>
  <c r="F6" i="60" a="1"/>
  <c r="F6" i="60" s="1"/>
  <c r="F5" i="59" a="1"/>
  <c r="F5" i="59" s="1"/>
  <c r="F6" i="59" a="1"/>
  <c r="F6" i="59" s="1"/>
  <c r="F7" i="59" a="1"/>
  <c r="F7" i="59" s="1"/>
  <c r="F8" i="59" a="1"/>
  <c r="F8" i="59" s="1"/>
  <c r="F9" i="59" a="1"/>
  <c r="F9" i="59" s="1"/>
  <c r="F10" i="59" a="1"/>
  <c r="F10" i="59" s="1"/>
  <c r="F11" i="59" a="1"/>
  <c r="F11" i="59" s="1"/>
  <c r="F12" i="59" a="1"/>
  <c r="F12" i="59" s="1"/>
  <c r="F13" i="59" a="1"/>
  <c r="F13" i="59" s="1"/>
  <c r="F14" i="59" a="1"/>
  <c r="F14" i="59" s="1"/>
  <c r="F15" i="59" a="1"/>
  <c r="F15" i="59" s="1"/>
  <c r="F16" i="59" a="1"/>
  <c r="F16" i="59" s="1"/>
  <c r="F17" i="59" a="1"/>
  <c r="F17" i="59" s="1"/>
  <c r="F18" i="59" a="1"/>
  <c r="F18" i="59" s="1"/>
  <c r="F19" i="59" a="1"/>
  <c r="F19" i="59" s="1"/>
  <c r="F20" i="59" a="1"/>
  <c r="F20" i="59" s="1"/>
  <c r="F21" i="59" a="1"/>
  <c r="F21" i="59" s="1"/>
  <c r="F22" i="59" a="1"/>
  <c r="F22" i="59" s="1"/>
  <c r="F23" i="59" a="1"/>
  <c r="F23" i="59" s="1"/>
  <c r="F24" i="59" a="1"/>
  <c r="F24" i="59" s="1"/>
  <c r="F25" i="59" a="1"/>
  <c r="F25" i="59" s="1"/>
  <c r="F26" i="59" a="1"/>
  <c r="F26" i="59" s="1"/>
  <c r="F27" i="59" a="1"/>
  <c r="F27" i="59" s="1"/>
  <c r="F28" i="59" a="1"/>
  <c r="F28" i="59" s="1"/>
  <c r="F29" i="59" a="1"/>
  <c r="F29" i="59" s="1"/>
  <c r="F30" i="59" a="1"/>
  <c r="F30" i="59" s="1"/>
  <c r="F31" i="59" a="1"/>
  <c r="F31" i="59" s="1"/>
  <c r="F32" i="59" a="1"/>
  <c r="F32" i="59" s="1"/>
  <c r="F33" i="59" a="1"/>
  <c r="F33" i="59" s="1"/>
  <c r="F34" i="59" a="1"/>
  <c r="F34" i="59" s="1"/>
  <c r="F35" i="59" a="1"/>
  <c r="F35" i="59" s="1"/>
  <c r="F36" i="59" a="1"/>
  <c r="F36" i="59" s="1"/>
  <c r="F37" i="59" a="1"/>
  <c r="F37" i="59" s="1"/>
  <c r="F38" i="59" a="1"/>
  <c r="F38" i="59" s="1"/>
  <c r="F39" i="59" a="1"/>
  <c r="F39" i="59" s="1"/>
  <c r="F40" i="59" a="1"/>
  <c r="F40" i="59" s="1"/>
  <c r="F41" i="59" a="1"/>
  <c r="F41" i="59" s="1"/>
  <c r="F42" i="59" a="1"/>
  <c r="F42" i="59" s="1"/>
  <c r="F43" i="59" a="1"/>
  <c r="F43" i="59" s="1"/>
  <c r="F44" i="59" a="1"/>
  <c r="F44" i="59" s="1"/>
  <c r="F45" i="59" a="1"/>
  <c r="F45" i="59" s="1"/>
  <c r="F46" i="59" a="1"/>
  <c r="F46" i="59" s="1"/>
  <c r="F47" i="59" a="1"/>
  <c r="F47" i="59" s="1"/>
  <c r="F48" i="59" a="1"/>
  <c r="F48" i="59" s="1"/>
  <c r="F49" i="59" a="1"/>
  <c r="F49" i="59" s="1"/>
  <c r="F50" i="59" a="1"/>
  <c r="F50" i="59" s="1"/>
  <c r="F51" i="59" a="1"/>
  <c r="F51" i="59" s="1"/>
  <c r="F52" i="59" a="1"/>
  <c r="F52" i="59" s="1"/>
  <c r="F53" i="59" a="1"/>
  <c r="F53" i="59" s="1"/>
  <c r="F54" i="59" a="1"/>
  <c r="F54" i="59" s="1"/>
  <c r="F55" i="59" a="1"/>
  <c r="F55" i="59" s="1"/>
  <c r="F56" i="59" a="1"/>
  <c r="F56" i="59" s="1"/>
  <c r="F57" i="59" a="1"/>
  <c r="F57" i="59" s="1"/>
  <c r="F58" i="59" a="1"/>
  <c r="F58" i="59" s="1"/>
  <c r="F59" i="59" a="1"/>
  <c r="F59" i="59" s="1"/>
  <c r="F60" i="59" a="1"/>
  <c r="F60" i="59" s="1"/>
  <c r="F61" i="59" a="1"/>
  <c r="F61" i="59" s="1"/>
  <c r="F62" i="59" a="1"/>
  <c r="F62" i="59" s="1"/>
  <c r="F63" i="59" a="1"/>
  <c r="F63" i="59" s="1"/>
  <c r="F64" i="59" a="1"/>
  <c r="F64" i="59" s="1"/>
  <c r="F65" i="59" a="1"/>
  <c r="F65" i="59" s="1"/>
  <c r="F66" i="59" a="1"/>
  <c r="F66" i="59" s="1"/>
  <c r="F67" i="59" a="1"/>
  <c r="F67" i="59" s="1"/>
  <c r="F68" i="59" a="1"/>
  <c r="F68" i="59" s="1"/>
  <c r="F69" i="59" a="1"/>
  <c r="F69" i="59" s="1"/>
  <c r="F70" i="59" a="1"/>
  <c r="F70" i="59" s="1"/>
  <c r="F71" i="59" a="1"/>
  <c r="F71" i="59" s="1"/>
  <c r="F72" i="59" a="1"/>
  <c r="F72" i="59" s="1"/>
  <c r="F73" i="59" a="1"/>
  <c r="F73" i="59" s="1"/>
  <c r="F74" i="59" a="1"/>
  <c r="F74" i="59" s="1"/>
  <c r="F75" i="59" a="1"/>
  <c r="F75" i="59" s="1"/>
  <c r="F76" i="59" a="1"/>
  <c r="F76" i="59" s="1"/>
  <c r="F77" i="59" a="1"/>
  <c r="F77" i="59" s="1"/>
  <c r="F78" i="59" a="1"/>
  <c r="F78" i="59" s="1"/>
  <c r="F79" i="59" a="1"/>
  <c r="F79" i="59" s="1"/>
  <c r="F80" i="59" a="1"/>
  <c r="F80" i="59" s="1"/>
  <c r="F81" i="59" a="1"/>
  <c r="F81" i="59" s="1"/>
  <c r="F82" i="59" a="1"/>
  <c r="F82" i="59" s="1"/>
  <c r="F83" i="59" a="1"/>
  <c r="F83" i="59" s="1"/>
  <c r="F84" i="59" a="1"/>
  <c r="F84" i="59" s="1"/>
  <c r="F85" i="59" a="1"/>
  <c r="F85" i="59" s="1"/>
  <c r="F86" i="59" a="1"/>
  <c r="F86" i="59" s="1"/>
  <c r="F87" i="59" a="1"/>
  <c r="F87" i="59" s="1"/>
  <c r="F5" i="58" a="1"/>
  <c r="F5" i="58" s="1"/>
  <c r="F6" i="58" a="1"/>
  <c r="F6" i="58" s="1"/>
  <c r="F7" i="58" a="1"/>
  <c r="F7" i="58" s="1"/>
  <c r="F8" i="58" a="1"/>
  <c r="F8" i="58" s="1"/>
  <c r="F9" i="58" a="1"/>
  <c r="F9" i="58" s="1"/>
  <c r="F10" i="58" a="1"/>
  <c r="F10" i="58" s="1"/>
  <c r="F11" i="58" a="1"/>
  <c r="F11" i="58" s="1"/>
  <c r="F12" i="58" a="1"/>
  <c r="F12" i="58" s="1"/>
  <c r="F13" i="58" a="1"/>
  <c r="F13" i="58" s="1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 s="1"/>
  <c r="F21" i="58" a="1"/>
  <c r="F21" i="58" s="1"/>
  <c r="F22" i="58" a="1"/>
  <c r="F22" i="58" s="1"/>
  <c r="F23" i="58" a="1"/>
  <c r="F23" i="58" s="1"/>
  <c r="F24" i="58" a="1"/>
  <c r="F24" i="58" s="1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 s="1"/>
  <c r="F33" i="58" a="1"/>
  <c r="F33" i="58" s="1"/>
  <c r="F34" i="58" a="1"/>
  <c r="F34" i="58" s="1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 s="1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5" i="57" a="1"/>
  <c r="F5" i="57" s="1"/>
  <c r="F6" i="57" a="1"/>
  <c r="F6" i="57" s="1"/>
  <c r="F7" i="57" a="1"/>
  <c r="F7" i="57" s="1"/>
  <c r="F8" i="57" a="1"/>
  <c r="F8" i="57" s="1"/>
  <c r="F5" i="56" a="1"/>
  <c r="F5" i="56" s="1"/>
  <c r="F6" i="56" a="1"/>
  <c r="F6" i="56" s="1"/>
  <c r="F7" i="56" a="1"/>
  <c r="F7" i="56" s="1"/>
  <c r="F8" i="56" a="1"/>
  <c r="F8" i="56" s="1"/>
  <c r="F9" i="56" a="1"/>
  <c r="F9" i="56" s="1"/>
  <c r="F10" i="56" a="1"/>
  <c r="F10" i="56" s="1"/>
  <c r="F11" i="56" a="1"/>
  <c r="F11" i="56" s="1"/>
  <c r="F12" i="56" a="1"/>
  <c r="F12" i="56" s="1"/>
  <c r="F5" i="55" a="1"/>
  <c r="F5" i="55" s="1"/>
  <c r="F6" i="55" a="1"/>
  <c r="F6" i="55" s="1"/>
  <c r="F7" i="55" a="1"/>
  <c r="F7" i="55" s="1"/>
  <c r="F5" i="54" a="1"/>
  <c r="F5" i="54" s="1"/>
  <c r="F6" i="54" a="1"/>
  <c r="F6" i="54" s="1"/>
  <c r="F7" i="54" a="1"/>
  <c r="F7" i="54" s="1"/>
  <c r="F8" i="54" a="1"/>
  <c r="F8" i="54" s="1"/>
  <c r="F9" i="54" a="1"/>
  <c r="F9" i="54" s="1"/>
  <c r="F10" i="54" a="1"/>
  <c r="F10" i="54" s="1"/>
  <c r="F11" i="54" a="1"/>
  <c r="F11" i="54" s="1"/>
  <c r="F12" i="54" a="1"/>
  <c r="F12" i="54" s="1"/>
  <c r="F13" i="54" a="1"/>
  <c r="F13" i="54" s="1"/>
  <c r="F14" i="54" a="1"/>
  <c r="F14" i="54" s="1"/>
  <c r="F15" i="54" a="1"/>
  <c r="F15" i="54" s="1"/>
  <c r="F16" i="54" a="1"/>
  <c r="F16" i="54" s="1"/>
  <c r="F17" i="54" a="1"/>
  <c r="F17" i="54" s="1"/>
  <c r="F18" i="54" a="1"/>
  <c r="F18" i="54" s="1"/>
  <c r="F19" i="54" a="1"/>
  <c r="F19" i="54" s="1"/>
  <c r="F20" i="54" a="1"/>
  <c r="F20" i="54" s="1"/>
  <c r="F21" i="54" a="1"/>
  <c r="F21" i="54" s="1"/>
  <c r="F22" i="54" a="1"/>
  <c r="F22" i="54" s="1"/>
  <c r="F23" i="54" a="1"/>
  <c r="F23" i="54" s="1"/>
  <c r="F24" i="54" a="1"/>
  <c r="F24" i="54" s="1"/>
  <c r="F25" i="54" a="1"/>
  <c r="F25" i="54" s="1"/>
  <c r="F26" i="54" a="1"/>
  <c r="F26" i="54" s="1"/>
  <c r="F27" i="54" a="1"/>
  <c r="F27" i="54" s="1"/>
  <c r="F28" i="54" a="1"/>
  <c r="F28" i="54" s="1"/>
  <c r="F29" i="54" a="1"/>
  <c r="F29" i="54" s="1"/>
  <c r="F30" i="54" a="1"/>
  <c r="F30" i="54" s="1"/>
  <c r="F31" i="54" a="1"/>
  <c r="F31" i="54" s="1"/>
  <c r="F32" i="54" a="1"/>
  <c r="F32" i="54" s="1"/>
  <c r="F33" i="54" a="1"/>
  <c r="F33" i="54" s="1"/>
  <c r="F34" i="54" a="1"/>
  <c r="F34" i="54" s="1"/>
  <c r="F35" i="54" a="1"/>
  <c r="F35" i="54" s="1"/>
  <c r="F36" i="54" a="1"/>
  <c r="F36" i="54" s="1"/>
  <c r="F37" i="54" a="1"/>
  <c r="F37" i="54" s="1"/>
  <c r="F38" i="54" a="1"/>
  <c r="F38" i="54" s="1"/>
  <c r="F39" i="54" a="1"/>
  <c r="F39" i="54" s="1"/>
  <c r="F40" i="54" a="1"/>
  <c r="F40" i="54" s="1"/>
  <c r="F41" i="54" a="1"/>
  <c r="F41" i="54" s="1"/>
  <c r="F42" i="54" a="1"/>
  <c r="F42" i="54" s="1"/>
  <c r="F43" i="54" a="1"/>
  <c r="F43" i="54" s="1"/>
  <c r="F44" i="54" a="1"/>
  <c r="F44" i="54" s="1"/>
  <c r="F45" i="54" a="1"/>
  <c r="F45" i="54" s="1"/>
  <c r="F46" i="54" a="1"/>
  <c r="F46" i="54" s="1"/>
  <c r="F47" i="54" a="1"/>
  <c r="F47" i="54" s="1"/>
  <c r="F48" i="54" a="1"/>
  <c r="F48" i="54" s="1"/>
  <c r="F49" i="54" a="1"/>
  <c r="F49" i="54" s="1"/>
  <c r="F50" i="54" a="1"/>
  <c r="F50" i="54" s="1"/>
  <c r="F51" i="54" a="1"/>
  <c r="F51" i="54" s="1"/>
  <c r="F52" i="54" a="1"/>
  <c r="F52" i="54" s="1"/>
  <c r="F53" i="54" a="1"/>
  <c r="F53" i="54" s="1"/>
  <c r="F54" i="54" a="1"/>
  <c r="F54" i="54" s="1"/>
  <c r="F55" i="54" a="1"/>
  <c r="F55" i="54" s="1"/>
  <c r="F56" i="54" a="1"/>
  <c r="F56" i="54" s="1"/>
  <c r="F57" i="54" a="1"/>
  <c r="F57" i="54" s="1"/>
  <c r="F58" i="54" a="1"/>
  <c r="F58" i="54" s="1"/>
  <c r="F59" i="54" a="1"/>
  <c r="F59" i="54" s="1"/>
  <c r="F60" i="54" a="1"/>
  <c r="F60" i="54" s="1"/>
  <c r="F61" i="54" a="1"/>
  <c r="F61" i="54" s="1"/>
  <c r="F62" i="54" a="1"/>
  <c r="F62" i="54" s="1"/>
  <c r="F63" i="54" a="1"/>
  <c r="F63" i="54" s="1"/>
  <c r="F64" i="54" a="1"/>
  <c r="F64" i="54" s="1"/>
  <c r="F65" i="54" a="1"/>
  <c r="F65" i="54" s="1"/>
  <c r="F66" i="54" a="1"/>
  <c r="F66" i="54" s="1"/>
  <c r="F67" i="54" a="1"/>
  <c r="F67" i="54" s="1"/>
  <c r="F68" i="54" a="1"/>
  <c r="F68" i="54" s="1"/>
  <c r="F69" i="54" a="1"/>
  <c r="F69" i="54" s="1"/>
  <c r="F5" i="52" a="1"/>
  <c r="F5" i="52" s="1"/>
  <c r="F5" i="51" a="1"/>
  <c r="F5" i="51" s="1"/>
  <c r="F6" i="51" a="1"/>
  <c r="F6" i="51" s="1"/>
  <c r="F7" i="51" a="1"/>
  <c r="F7" i="51" s="1"/>
  <c r="F8" i="51" a="1"/>
  <c r="F8" i="51" s="1"/>
  <c r="F9" i="51" a="1"/>
  <c r="F9" i="51" s="1"/>
  <c r="F10" i="51" a="1"/>
  <c r="F10" i="51" s="1"/>
  <c r="F11" i="51" a="1"/>
  <c r="F11" i="51" s="1"/>
  <c r="F12" i="51" a="1"/>
  <c r="F12" i="51" s="1"/>
  <c r="F13" i="51" a="1"/>
  <c r="F13" i="51" s="1"/>
  <c r="F14" i="51" a="1"/>
  <c r="F14" i="51" s="1"/>
  <c r="F15" i="51" a="1"/>
  <c r="F15" i="51" s="1"/>
  <c r="F16" i="51" a="1"/>
  <c r="F16" i="51" s="1"/>
  <c r="F17" i="51" a="1"/>
  <c r="F17" i="51" s="1"/>
  <c r="F18" i="51" a="1"/>
  <c r="F18" i="51" s="1"/>
  <c r="F19" i="51" a="1"/>
  <c r="F19" i="51" s="1"/>
  <c r="F20" i="51" a="1"/>
  <c r="F20" i="51" s="1"/>
  <c r="F21" i="51" a="1"/>
  <c r="F21" i="51" s="1"/>
  <c r="F22" i="51" a="1"/>
  <c r="F22" i="51" s="1"/>
  <c r="F23" i="51" a="1"/>
  <c r="F23" i="51" s="1"/>
  <c r="F24" i="51" a="1"/>
  <c r="F24" i="51" s="1"/>
  <c r="F25" i="51" a="1"/>
  <c r="F25" i="51" s="1"/>
  <c r="F26" i="51" a="1"/>
  <c r="F26" i="51" s="1"/>
  <c r="F27" i="51" a="1"/>
  <c r="F27" i="51" s="1"/>
  <c r="F28" i="51" a="1"/>
  <c r="F28" i="51" s="1"/>
  <c r="F29" i="51" a="1"/>
  <c r="F29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8" i="51" a="1"/>
  <c r="F38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F55" i="51" a="1"/>
  <c r="F55" i="51" s="1"/>
  <c r="F56" i="51" a="1"/>
  <c r="F56" i="51" s="1"/>
  <c r="F57" i="51" a="1"/>
  <c r="F57" i="51" s="1"/>
  <c r="F58" i="51" a="1"/>
  <c r="F58" i="51" s="1"/>
  <c r="F59" i="51" a="1"/>
  <c r="F59" i="51" s="1"/>
  <c r="F60" i="51" a="1"/>
  <c r="F60" i="51" s="1"/>
  <c r="F61" i="51" a="1"/>
  <c r="F61" i="51" s="1"/>
  <c r="F62" i="51" a="1"/>
  <c r="F62" i="51" s="1"/>
  <c r="F63" i="51" a="1"/>
  <c r="F63" i="51" s="1"/>
  <c r="F64" i="51" a="1"/>
  <c r="F64" i="51" s="1"/>
  <c r="F65" i="51" a="1"/>
  <c r="F65" i="51" s="1"/>
  <c r="F5" i="50" a="1"/>
  <c r="F5" i="50" s="1"/>
  <c r="F6" i="50" a="1"/>
  <c r="F6" i="50" s="1"/>
  <c r="F5" i="49" a="1"/>
  <c r="F5" i="49" s="1"/>
  <c r="F6" i="49" a="1"/>
  <c r="F6" i="49" s="1"/>
  <c r="F7" i="49" a="1"/>
  <c r="F7" i="49" s="1"/>
  <c r="F8" i="49" a="1"/>
  <c r="F8" i="49" s="1"/>
  <c r="F9" i="49" a="1"/>
  <c r="F9" i="49" s="1"/>
  <c r="F10" i="49" a="1"/>
  <c r="F10" i="49" s="1"/>
  <c r="F11" i="49" a="1"/>
  <c r="F11" i="49" s="1"/>
  <c r="F12" i="49" a="1"/>
  <c r="F12" i="49" s="1"/>
  <c r="F13" i="49" a="1"/>
  <c r="F13" i="49" s="1"/>
  <c r="F14" i="49" a="1"/>
  <c r="F14" i="49" s="1"/>
  <c r="F15" i="49" a="1"/>
  <c r="F15" i="49" s="1"/>
  <c r="F16" i="49" a="1"/>
  <c r="F16" i="49" s="1"/>
  <c r="F17" i="49" a="1"/>
  <c r="F17" i="49" s="1"/>
  <c r="F18" i="49" a="1"/>
  <c r="F18" i="49" s="1"/>
  <c r="F19" i="49" a="1"/>
  <c r="F19" i="49" s="1"/>
  <c r="F20" i="49" a="1"/>
  <c r="F20" i="49" s="1"/>
  <c r="F21" i="49" a="1"/>
  <c r="F21" i="49" s="1"/>
  <c r="F22" i="49" a="1"/>
  <c r="F22" i="49" s="1"/>
  <c r="F23" i="49" a="1"/>
  <c r="F23" i="49" s="1"/>
  <c r="F24" i="49" a="1"/>
  <c r="F24" i="49" s="1"/>
  <c r="F25" i="49" a="1"/>
  <c r="F25" i="49" s="1"/>
  <c r="F26" i="49" a="1"/>
  <c r="F26" i="49" s="1"/>
  <c r="F27" i="49" a="1"/>
  <c r="F27" i="49" s="1"/>
  <c r="F28" i="49" a="1"/>
  <c r="F28" i="49" s="1"/>
  <c r="F29" i="49" a="1"/>
  <c r="F29" i="49" s="1"/>
  <c r="F30" i="49" a="1"/>
  <c r="F30" i="49" s="1"/>
  <c r="F31" i="49" a="1"/>
  <c r="F31" i="49" s="1"/>
  <c r="F32" i="49" a="1"/>
  <c r="F32" i="49" s="1"/>
  <c r="F33" i="49" a="1"/>
  <c r="F33" i="49" s="1"/>
  <c r="F34" i="49" a="1"/>
  <c r="F34" i="49" s="1"/>
  <c r="F35" i="49" a="1"/>
  <c r="F35" i="49" s="1"/>
  <c r="F36" i="49" a="1"/>
  <c r="F36" i="49" s="1"/>
  <c r="F37" i="49" a="1"/>
  <c r="F37" i="49" s="1"/>
  <c r="F38" i="49" a="1"/>
  <c r="F38" i="49" s="1"/>
  <c r="F39" i="49" a="1"/>
  <c r="F39" i="49" s="1"/>
  <c r="F40" i="49" a="1"/>
  <c r="F40" i="49" s="1"/>
  <c r="F41" i="49" a="1"/>
  <c r="F41" i="49" s="1"/>
  <c r="F42" i="49" a="1"/>
  <c r="F42" i="49" s="1"/>
  <c r="F43" i="49" a="1"/>
  <c r="F43" i="49" s="1"/>
  <c r="F44" i="49" a="1"/>
  <c r="F44" i="49" s="1"/>
  <c r="F45" i="49" a="1"/>
  <c r="F45" i="49" s="1"/>
  <c r="F46" i="49" a="1"/>
  <c r="F46" i="49" s="1"/>
  <c r="F47" i="49" a="1"/>
  <c r="F47" i="49" s="1"/>
  <c r="F48" i="49" a="1"/>
  <c r="F48" i="49" s="1"/>
  <c r="F49" i="49" a="1"/>
  <c r="F49" i="49" s="1"/>
  <c r="F50" i="49" a="1"/>
  <c r="F50" i="49" s="1"/>
  <c r="F51" i="49" a="1"/>
  <c r="F51" i="49" s="1"/>
  <c r="F52" i="49" a="1"/>
  <c r="F52" i="49" s="1"/>
  <c r="F53" i="49" a="1"/>
  <c r="F53" i="49" s="1"/>
  <c r="F54" i="49" a="1"/>
  <c r="F54" i="49" s="1"/>
  <c r="F55" i="49" a="1"/>
  <c r="F55" i="49" s="1"/>
  <c r="F56" i="49" a="1"/>
  <c r="F56" i="49" s="1"/>
  <c r="F57" i="49" a="1"/>
  <c r="F57" i="49" s="1"/>
  <c r="F58" i="49" a="1"/>
  <c r="F58" i="49" s="1"/>
  <c r="F59" i="49" a="1"/>
  <c r="F59" i="49" s="1"/>
  <c r="F5" i="48" a="1"/>
  <c r="F5" i="48" s="1"/>
  <c r="F6" i="48" a="1"/>
  <c r="F6" i="48" s="1"/>
  <c r="F7" i="48" a="1"/>
  <c r="F7" i="48" s="1"/>
  <c r="F8" i="48" a="1"/>
  <c r="F8" i="48" s="1"/>
  <c r="F9" i="48" a="1"/>
  <c r="F9" i="48" s="1"/>
  <c r="F10" i="48" a="1"/>
  <c r="F10" i="48" s="1"/>
  <c r="F11" i="48" a="1"/>
  <c r="F11" i="48" s="1"/>
  <c r="F12" i="48" a="1"/>
  <c r="F12" i="48" s="1"/>
  <c r="F13" i="48" a="1"/>
  <c r="F13" i="48" s="1"/>
  <c r="F14" i="48" a="1"/>
  <c r="F14" i="48" s="1"/>
  <c r="F15" i="48" a="1"/>
  <c r="F15" i="48" s="1"/>
  <c r="F16" i="48" a="1"/>
  <c r="F16" i="48" s="1"/>
  <c r="F17" i="48" a="1"/>
  <c r="F17" i="48" s="1"/>
  <c r="F18" i="48" a="1"/>
  <c r="F18" i="48" s="1"/>
  <c r="F5" i="47" a="1"/>
  <c r="F5" i="47" s="1"/>
  <c r="F6" i="47" a="1"/>
  <c r="F6" i="47" s="1"/>
  <c r="F7" i="47" a="1"/>
  <c r="F7" i="47" s="1"/>
  <c r="F8" i="47" a="1"/>
  <c r="F8" i="47" s="1"/>
  <c r="F9" i="47" a="1"/>
  <c r="F9" i="47" s="1"/>
  <c r="F10" i="47" a="1"/>
  <c r="F10" i="47" s="1"/>
  <c r="F11" i="47" a="1"/>
  <c r="F11" i="47" s="1"/>
  <c r="F12" i="47" a="1"/>
  <c r="F12" i="47" s="1"/>
  <c r="F13" i="47" a="1"/>
  <c r="F13" i="47" s="1"/>
  <c r="F14" i="47" a="1"/>
  <c r="F14" i="47" s="1"/>
  <c r="F15" i="47" a="1"/>
  <c r="F15" i="47" s="1"/>
  <c r="F16" i="47" a="1"/>
  <c r="F16" i="47" s="1"/>
  <c r="F17" i="47" a="1"/>
  <c r="F17" i="47" s="1"/>
  <c r="F18" i="47" a="1"/>
  <c r="F18" i="47" s="1"/>
  <c r="F19" i="47" a="1"/>
  <c r="F19" i="47" s="1"/>
  <c r="F20" i="47" a="1"/>
  <c r="F20" i="47" s="1"/>
  <c r="F21" i="47" a="1"/>
  <c r="F21" i="47" s="1"/>
  <c r="F22" i="47" a="1"/>
  <c r="F22" i="47" s="1"/>
  <c r="F23" i="47" a="1"/>
  <c r="F23" i="47" s="1"/>
  <c r="F24" i="47" a="1"/>
  <c r="F24" i="47" s="1"/>
  <c r="F25" i="47" a="1"/>
  <c r="F25" i="47" s="1"/>
  <c r="F26" i="47" a="1"/>
  <c r="F26" i="47" s="1"/>
  <c r="F27" i="47" a="1"/>
  <c r="F27" i="47" s="1"/>
  <c r="F28" i="47" a="1"/>
  <c r="F28" i="47" s="1"/>
  <c r="F29" i="47" a="1"/>
  <c r="F29" i="47" s="1"/>
  <c r="F30" i="47" a="1"/>
  <c r="F30" i="47" s="1"/>
  <c r="F31" i="47" a="1"/>
  <c r="F31" i="47" s="1"/>
  <c r="F32" i="47" a="1"/>
  <c r="F32" i="47" s="1"/>
  <c r="F33" i="47" a="1"/>
  <c r="F33" i="47" s="1"/>
  <c r="F34" i="47" a="1"/>
  <c r="F34" i="47" s="1"/>
  <c r="F35" i="47" a="1"/>
  <c r="F35" i="47" s="1"/>
  <c r="F36" i="47" a="1"/>
  <c r="F36" i="47" s="1"/>
  <c r="F37" i="47" a="1"/>
  <c r="F37" i="47" s="1"/>
  <c r="F38" i="47" a="1"/>
  <c r="F38" i="47" s="1"/>
  <c r="F39" i="47" a="1"/>
  <c r="F39" i="47" s="1"/>
  <c r="F40" i="47" a="1"/>
  <c r="F40" i="47" s="1"/>
  <c r="F41" i="47" a="1"/>
  <c r="F41" i="47" s="1"/>
  <c r="F42" i="47" a="1"/>
  <c r="F42" i="47" s="1"/>
  <c r="F43" i="47" a="1"/>
  <c r="F43" i="47" s="1"/>
  <c r="F44" i="47" a="1"/>
  <c r="F44" i="47" s="1"/>
  <c r="F45" i="47" a="1"/>
  <c r="F45" i="47" s="1"/>
  <c r="F46" i="47" a="1"/>
  <c r="F46" i="47" s="1"/>
  <c r="F47" i="47" a="1"/>
  <c r="F47" i="47" s="1"/>
  <c r="F48" i="47" a="1"/>
  <c r="F48" i="47" s="1"/>
  <c r="F49" i="47" a="1"/>
  <c r="F49" i="47" s="1"/>
  <c r="F50" i="47" a="1"/>
  <c r="F50" i="47" s="1"/>
  <c r="F51" i="47" a="1"/>
  <c r="F51" i="47" s="1"/>
  <c r="F52" i="47" a="1"/>
  <c r="F52" i="47" s="1"/>
  <c r="F53" i="47" a="1"/>
  <c r="F53" i="47" s="1"/>
  <c r="F54" i="47" a="1"/>
  <c r="F54" i="47" s="1"/>
  <c r="F55" i="47" a="1"/>
  <c r="F55" i="47" s="1"/>
  <c r="F56" i="47" a="1"/>
  <c r="F56" i="47" s="1"/>
  <c r="F57" i="47" a="1"/>
  <c r="F57" i="47" s="1"/>
  <c r="F58" i="47" a="1"/>
  <c r="F58" i="47" s="1"/>
  <c r="F59" i="47" a="1"/>
  <c r="F59" i="47" s="1"/>
  <c r="F60" i="47" a="1"/>
  <c r="F60" i="47" s="1"/>
  <c r="F61" i="47" a="1"/>
  <c r="F61" i="47" s="1"/>
  <c r="F62" i="47" a="1"/>
  <c r="F62" i="47" s="1"/>
  <c r="F63" i="47" a="1"/>
  <c r="F63" i="47" s="1"/>
  <c r="F64" i="47" a="1"/>
  <c r="F64" i="47" s="1"/>
  <c r="F65" i="47" a="1"/>
  <c r="F65" i="47" s="1"/>
  <c r="F66" i="47" a="1"/>
  <c r="F66" i="47" s="1"/>
  <c r="F67" i="47" a="1"/>
  <c r="F67" i="47" s="1"/>
  <c r="F5" i="46" a="1"/>
  <c r="F5" i="46" s="1"/>
  <c r="F6" i="46" a="1"/>
  <c r="F6" i="46" s="1"/>
  <c r="F7" i="46" a="1"/>
  <c r="F7" i="46" s="1"/>
  <c r="F8" i="46" a="1"/>
  <c r="F8" i="46" s="1"/>
  <c r="F9" i="46" a="1"/>
  <c r="F9" i="46" s="1"/>
  <c r="F10" i="46" a="1"/>
  <c r="F10" i="46" s="1"/>
  <c r="F11" i="46" a="1"/>
  <c r="F11" i="46" s="1"/>
  <c r="F12" i="46" a="1"/>
  <c r="F12" i="46" s="1"/>
  <c r="F13" i="46" a="1"/>
  <c r="F13" i="46" s="1"/>
  <c r="F14" i="46" a="1"/>
  <c r="F14" i="46" s="1"/>
  <c r="F15" i="46" a="1"/>
  <c r="F15" i="46" s="1"/>
  <c r="F16" i="46" a="1"/>
  <c r="F16" i="46" s="1"/>
  <c r="F17" i="46" a="1"/>
  <c r="F17" i="46" s="1"/>
  <c r="F18" i="46" a="1"/>
  <c r="F18" i="46" s="1"/>
  <c r="F19" i="46" a="1"/>
  <c r="F19" i="46" s="1"/>
  <c r="F20" i="46" a="1"/>
  <c r="F20" i="46" s="1"/>
  <c r="F21" i="46" a="1"/>
  <c r="F21" i="46" s="1"/>
  <c r="F22" i="46" a="1"/>
  <c r="F22" i="46" s="1"/>
  <c r="F23" i="46" a="1"/>
  <c r="F23" i="46" s="1"/>
  <c r="F24" i="46" a="1"/>
  <c r="F24" i="46" s="1"/>
  <c r="F25" i="46" a="1"/>
  <c r="F25" i="46" s="1"/>
  <c r="F26" i="46" a="1"/>
  <c r="F26" i="46" s="1"/>
  <c r="F5" i="45" a="1"/>
  <c r="F5" i="45" s="1"/>
  <c r="F6" i="45" a="1"/>
  <c r="F6" i="45" s="1"/>
  <c r="F7" i="45" a="1"/>
  <c r="F7" i="45" s="1"/>
  <c r="F5" i="44" a="1"/>
  <c r="F5" i="44" s="1"/>
  <c r="F6" i="44" a="1"/>
  <c r="F6" i="44" s="1"/>
  <c r="F7" i="44" a="1"/>
  <c r="F7" i="44" s="1"/>
  <c r="F8" i="44" a="1"/>
  <c r="F8" i="44" s="1"/>
  <c r="F9" i="44" a="1"/>
  <c r="F9" i="44" s="1"/>
  <c r="F10" i="44" a="1"/>
  <c r="F10" i="44" s="1"/>
  <c r="F11" i="44" a="1"/>
  <c r="F11" i="44" s="1"/>
  <c r="F12" i="44" a="1"/>
  <c r="F12" i="44" s="1"/>
  <c r="F13" i="44" a="1"/>
  <c r="F13" i="44" s="1"/>
  <c r="F14" i="44" a="1"/>
  <c r="F14" i="44" s="1"/>
  <c r="F15" i="44" a="1"/>
  <c r="F15" i="44" s="1"/>
  <c r="F16" i="44" a="1"/>
  <c r="F16" i="44" s="1"/>
  <c r="F17" i="44" a="1"/>
  <c r="F17" i="44" s="1"/>
  <c r="F18" i="44" a="1"/>
  <c r="F18" i="44" s="1"/>
  <c r="F19" i="44" a="1"/>
  <c r="F19" i="44" s="1"/>
  <c r="F20" i="44" a="1"/>
  <c r="F20" i="44" s="1"/>
  <c r="F21" i="44" a="1"/>
  <c r="F21" i="44" s="1"/>
  <c r="F22" i="44" a="1"/>
  <c r="F22" i="44" s="1"/>
  <c r="F23" i="44" a="1"/>
  <c r="F23" i="44" s="1"/>
  <c r="F24" i="44" a="1"/>
  <c r="F24" i="44" s="1"/>
  <c r="F25" i="44" a="1"/>
  <c r="F25" i="44" s="1"/>
  <c r="F26" i="44" a="1"/>
  <c r="F26" i="44" s="1"/>
  <c r="F27" i="44" a="1"/>
  <c r="F27" i="44" s="1"/>
  <c r="F28" i="44" a="1"/>
  <c r="F28" i="44" s="1"/>
  <c r="F29" i="44" a="1"/>
  <c r="F29" i="44" s="1"/>
  <c r="F30" i="44" a="1"/>
  <c r="F30" i="44" s="1"/>
  <c r="F31" i="44" a="1"/>
  <c r="F31" i="44" s="1"/>
  <c r="F32" i="44" a="1"/>
  <c r="F32" i="44" s="1"/>
  <c r="F33" i="44" a="1"/>
  <c r="F33" i="44" s="1"/>
  <c r="F34" i="44" a="1"/>
  <c r="F34" i="44" s="1"/>
  <c r="F35" i="44" a="1"/>
  <c r="F35" i="44" s="1"/>
  <c r="F36" i="44" a="1"/>
  <c r="F36" i="44" s="1"/>
  <c r="F37" i="44" a="1"/>
  <c r="F37" i="44" s="1"/>
  <c r="F38" i="44" a="1"/>
  <c r="F38" i="44" s="1"/>
  <c r="F39" i="44" a="1"/>
  <c r="F39" i="44" s="1"/>
  <c r="F40" i="44" a="1"/>
  <c r="F40" i="44" s="1"/>
  <c r="F41" i="44" a="1"/>
  <c r="F41" i="44" s="1"/>
  <c r="F42" i="44" a="1"/>
  <c r="F42" i="44" s="1"/>
  <c r="F43" i="44" a="1"/>
  <c r="F43" i="44" s="1"/>
  <c r="F44" i="44" a="1"/>
  <c r="F44" i="44" s="1"/>
  <c r="F45" i="44" a="1"/>
  <c r="F45" i="44" s="1"/>
  <c r="F46" i="44" a="1"/>
  <c r="F46" i="44" s="1"/>
  <c r="F5" i="43" a="1"/>
  <c r="F5" i="43" s="1"/>
  <c r="F6" i="43" a="1"/>
  <c r="F6" i="43" s="1"/>
  <c r="F5" i="42" a="1"/>
  <c r="F5" i="42" s="1"/>
  <c r="F6" i="42" a="1"/>
  <c r="F6" i="42" s="1"/>
  <c r="F7" i="42" a="1"/>
  <c r="F7" i="42" s="1"/>
  <c r="F8" i="42" a="1"/>
  <c r="F8" i="42" s="1"/>
  <c r="F5" i="41" a="1"/>
  <c r="F5" i="41" s="1"/>
  <c r="F6" i="41" a="1"/>
  <c r="F6" i="41" s="1"/>
  <c r="F7" i="41" a="1"/>
  <c r="F7" i="41" s="1"/>
  <c r="F8" i="41" a="1"/>
  <c r="F8" i="41" s="1"/>
  <c r="F9" i="41" a="1"/>
  <c r="F9" i="41" s="1"/>
  <c r="F10" i="41" a="1"/>
  <c r="F10" i="41" s="1"/>
  <c r="F11" i="41" a="1"/>
  <c r="F11" i="41" s="1"/>
  <c r="F12" i="41" a="1"/>
  <c r="F12" i="41" s="1"/>
  <c r="F13" i="41" a="1"/>
  <c r="F13" i="41" s="1"/>
  <c r="F14" i="41" a="1"/>
  <c r="F14" i="41" s="1"/>
  <c r="F15" i="41" a="1"/>
  <c r="F15" i="41" s="1"/>
  <c r="F16" i="41" a="1"/>
  <c r="F16" i="41" s="1"/>
  <c r="F17" i="41" a="1"/>
  <c r="F17" i="41" s="1"/>
  <c r="F18" i="41" a="1"/>
  <c r="F18" i="41" s="1"/>
  <c r="F19" i="41" a="1"/>
  <c r="F19" i="41" s="1"/>
  <c r="F20" i="41" a="1"/>
  <c r="F20" i="41" s="1"/>
  <c r="F21" i="41" a="1"/>
  <c r="F21" i="41" s="1"/>
  <c r="F22" i="41" a="1"/>
  <c r="F22" i="41" s="1"/>
  <c r="F23" i="41" a="1"/>
  <c r="F23" i="41" s="1"/>
  <c r="F24" i="41" a="1"/>
  <c r="F24" i="41" s="1"/>
  <c r="F25" i="41" a="1"/>
  <c r="F25" i="41" s="1"/>
  <c r="F26" i="41" a="1"/>
  <c r="F26" i="41" s="1"/>
  <c r="F27" i="41" a="1"/>
  <c r="F27" i="41" s="1"/>
  <c r="F28" i="41" a="1"/>
  <c r="F28" i="41" s="1"/>
  <c r="F29" i="41" a="1"/>
  <c r="F29" i="41" s="1"/>
  <c r="F30" i="41" a="1"/>
  <c r="F30" i="41" s="1"/>
  <c r="F31" i="41" a="1"/>
  <c r="F31" i="41" s="1"/>
  <c r="F32" i="41" a="1"/>
  <c r="F32" i="41" s="1"/>
  <c r="F33" i="41" a="1"/>
  <c r="F33" i="41" s="1"/>
  <c r="F34" i="41" a="1"/>
  <c r="F34" i="41" s="1"/>
  <c r="F35" i="41" a="1"/>
  <c r="F35" i="41" s="1"/>
  <c r="F36" i="41" a="1"/>
  <c r="F36" i="41" s="1"/>
  <c r="F37" i="41" a="1"/>
  <c r="F37" i="41" s="1"/>
  <c r="F38" i="41" a="1"/>
  <c r="F38" i="41" s="1"/>
  <c r="F39" i="41" a="1"/>
  <c r="F39" i="41" s="1"/>
  <c r="F40" i="41" a="1"/>
  <c r="F40" i="41" s="1"/>
  <c r="F41" i="41" a="1"/>
  <c r="F41" i="41" s="1"/>
  <c r="F5" i="38" a="1"/>
  <c r="F5" i="38" s="1"/>
  <c r="F6" i="38" a="1"/>
  <c r="F6" i="38" s="1"/>
  <c r="F7" i="38" a="1"/>
  <c r="F7" i="38" s="1"/>
  <c r="F8" i="38" a="1"/>
  <c r="F8" i="38" s="1"/>
  <c r="F9" i="38" a="1"/>
  <c r="F9" i="38" s="1"/>
  <c r="F10" i="38" a="1"/>
  <c r="F10" i="38" s="1"/>
  <c r="F11" i="38" a="1"/>
  <c r="F11" i="38" s="1"/>
  <c r="F12" i="38" a="1"/>
  <c r="F12" i="38" s="1"/>
  <c r="F13" i="38" a="1"/>
  <c r="F13" i="38" s="1"/>
  <c r="F14" i="38" a="1"/>
  <c r="F14" i="38" s="1"/>
  <c r="F15" i="38" a="1"/>
  <c r="F15" i="38" s="1"/>
  <c r="F16" i="38" a="1"/>
  <c r="F16" i="38" s="1"/>
  <c r="F17" i="38" a="1"/>
  <c r="F17" i="38" s="1"/>
  <c r="F18" i="38" a="1"/>
  <c r="F18" i="38" s="1"/>
  <c r="F19" i="38" a="1"/>
  <c r="F19" i="38" s="1"/>
  <c r="F20" i="38" a="1"/>
  <c r="F20" i="38" s="1"/>
  <c r="F21" i="38" a="1"/>
  <c r="F21" i="38" s="1"/>
  <c r="F22" i="38" a="1"/>
  <c r="F22" i="38" s="1"/>
  <c r="F23" i="38" a="1"/>
  <c r="F23" i="38" s="1"/>
  <c r="F24" i="38" a="1"/>
  <c r="F24" i="38" s="1"/>
  <c r="F25" i="38" a="1"/>
  <c r="F25" i="38" s="1"/>
  <c r="F26" i="38" a="1"/>
  <c r="F26" i="38" s="1"/>
  <c r="F27" i="38" a="1"/>
  <c r="F27" i="38" s="1"/>
  <c r="F28" i="38" a="1"/>
  <c r="F28" i="38" s="1"/>
  <c r="F29" i="38" a="1"/>
  <c r="F29" i="38" s="1"/>
  <c r="F30" i="38" a="1"/>
  <c r="F30" i="38" s="1"/>
  <c r="F31" i="38" a="1"/>
  <c r="F31" i="38" s="1"/>
  <c r="F32" i="38" a="1"/>
  <c r="F32" i="38" s="1"/>
  <c r="F33" i="38" a="1"/>
  <c r="F33" i="38" s="1"/>
  <c r="F34" i="38" a="1"/>
  <c r="F34" i="38" s="1"/>
  <c r="F35" i="38" a="1"/>
  <c r="F35" i="38" s="1"/>
  <c r="F36" i="38" a="1"/>
  <c r="F36" i="38" s="1"/>
  <c r="F37" i="38" a="1"/>
  <c r="F37" i="38" s="1"/>
  <c r="F38" i="38" a="1"/>
  <c r="F38" i="38" s="1"/>
  <c r="F39" i="38" a="1"/>
  <c r="F39" i="38" s="1"/>
  <c r="F5" i="37" a="1"/>
  <c r="F5" i="37" s="1"/>
  <c r="F6" i="37" a="1"/>
  <c r="F6" i="37" s="1"/>
  <c r="F7" i="37" a="1"/>
  <c r="F7" i="37" s="1"/>
  <c r="F5" i="36" a="1"/>
  <c r="F5" i="36" s="1"/>
  <c r="F5" i="35" a="1"/>
  <c r="F5" i="35" s="1"/>
  <c r="F6" i="35" a="1"/>
  <c r="F6" i="35" s="1"/>
  <c r="F7" i="35" a="1"/>
  <c r="F7" i="35" s="1"/>
  <c r="F8" i="35" a="1"/>
  <c r="F8" i="35" s="1"/>
  <c r="F9" i="35" a="1"/>
  <c r="F9" i="35" s="1"/>
  <c r="F10" i="35" a="1"/>
  <c r="F10" i="35" s="1"/>
  <c r="F11" i="35" a="1"/>
  <c r="F11" i="35" s="1"/>
  <c r="F12" i="35" a="1"/>
  <c r="F12" i="35" s="1"/>
  <c r="F13" i="35" a="1"/>
  <c r="F13" i="35" s="1"/>
  <c r="F14" i="35" a="1"/>
  <c r="F14" i="35" s="1"/>
  <c r="F15" i="35" a="1"/>
  <c r="F15" i="35" s="1"/>
  <c r="F16" i="35" a="1"/>
  <c r="F16" i="35" s="1"/>
  <c r="F17" i="35" a="1"/>
  <c r="F17" i="35" s="1"/>
  <c r="F18" i="35" a="1"/>
  <c r="F18" i="35" s="1"/>
  <c r="F19" i="35" a="1"/>
  <c r="F19" i="35" s="1"/>
  <c r="F20" i="35" a="1"/>
  <c r="F20" i="35" s="1"/>
  <c r="F21" i="35" a="1"/>
  <c r="F21" i="35" s="1"/>
  <c r="F22" i="35" a="1"/>
  <c r="F22" i="35" s="1"/>
  <c r="F23" i="35" a="1"/>
  <c r="F23" i="35" s="1"/>
  <c r="F24" i="35" a="1"/>
  <c r="F24" i="35" s="1"/>
  <c r="F25" i="35" a="1"/>
  <c r="F25" i="35" s="1"/>
  <c r="F26" i="35" a="1"/>
  <c r="F26" i="35" s="1"/>
  <c r="F27" i="35" a="1"/>
  <c r="F27" i="35" s="1"/>
  <c r="F28" i="35" a="1"/>
  <c r="F28" i="35" s="1"/>
  <c r="F29" i="35" a="1"/>
  <c r="F29" i="35" s="1"/>
  <c r="F30" i="35" a="1"/>
  <c r="F30" i="35" s="1"/>
  <c r="F31" i="35" a="1"/>
  <c r="F31" i="35" s="1"/>
  <c r="F32" i="35" a="1"/>
  <c r="F32" i="35" s="1"/>
  <c r="F33" i="35" a="1"/>
  <c r="F33" i="35" s="1"/>
  <c r="F34" i="35" a="1"/>
  <c r="F34" i="35" s="1"/>
  <c r="F35" i="35" a="1"/>
  <c r="F35" i="35" s="1"/>
  <c r="F36" i="35" a="1"/>
  <c r="F36" i="35" s="1"/>
  <c r="F37" i="35" a="1"/>
  <c r="F37" i="35" s="1"/>
  <c r="F38" i="35" a="1"/>
  <c r="F38" i="35" s="1"/>
  <c r="F39" i="35" a="1"/>
  <c r="F39" i="35" s="1"/>
  <c r="F40" i="35" a="1"/>
  <c r="F40" i="35" s="1"/>
  <c r="F41" i="35" a="1"/>
  <c r="F41" i="35" s="1"/>
  <c r="F42" i="35" a="1"/>
  <c r="F42" i="35" s="1"/>
  <c r="F43" i="35" a="1"/>
  <c r="F43" i="35" s="1"/>
  <c r="F44" i="35" a="1"/>
  <c r="F44" i="35" s="1"/>
  <c r="F45" i="35" a="1"/>
  <c r="F45" i="35" s="1"/>
  <c r="F46" i="35" a="1"/>
  <c r="F46" i="35" s="1"/>
  <c r="F5" i="34" a="1"/>
  <c r="F5" i="34" s="1"/>
  <c r="F5" i="33" a="1"/>
  <c r="F5" i="33" s="1"/>
  <c r="F5" i="32" a="1"/>
  <c r="F5" i="32" s="1"/>
  <c r="F6" i="32" a="1"/>
  <c r="F6" i="32" s="1"/>
  <c r="F7" i="32" a="1"/>
  <c r="F7" i="32" s="1"/>
  <c r="F8" i="32" a="1"/>
  <c r="F8" i="32" s="1"/>
  <c r="F9" i="32" a="1"/>
  <c r="F9" i="32" s="1"/>
  <c r="F10" i="32" a="1"/>
  <c r="F10" i="32" s="1"/>
  <c r="F11" i="32" a="1"/>
  <c r="F11" i="32" s="1"/>
  <c r="F12" i="32" a="1"/>
  <c r="F12" i="32" s="1"/>
  <c r="F13" i="32" a="1"/>
  <c r="F13" i="32" s="1"/>
  <c r="F14" i="32" a="1"/>
  <c r="F14" i="32" s="1"/>
  <c r="F15" i="32" a="1"/>
  <c r="F15" i="32" s="1"/>
  <c r="F16" i="32" a="1"/>
  <c r="F16" i="32" s="1"/>
  <c r="F17" i="32" a="1"/>
  <c r="F17" i="32" s="1"/>
  <c r="F18" i="32" a="1"/>
  <c r="F18" i="32" s="1"/>
  <c r="F19" i="32" a="1"/>
  <c r="F19" i="32" s="1"/>
  <c r="F20" i="32" a="1"/>
  <c r="F20" i="32" s="1"/>
  <c r="F21" i="32" a="1"/>
  <c r="F21" i="32" s="1"/>
  <c r="F22" i="32" a="1"/>
  <c r="F22" i="32" s="1"/>
  <c r="F23" i="32" a="1"/>
  <c r="F23" i="32" s="1"/>
  <c r="F24" i="32" a="1"/>
  <c r="F24" i="32" s="1"/>
  <c r="F25" i="32" a="1"/>
  <c r="F25" i="32" s="1"/>
  <c r="F26" i="32" a="1"/>
  <c r="F26" i="32" s="1"/>
  <c r="F27" i="32" a="1"/>
  <c r="F27" i="32" s="1"/>
  <c r="F28" i="32" a="1"/>
  <c r="F28" i="32" s="1"/>
  <c r="F29" i="32" a="1"/>
  <c r="F29" i="32" s="1"/>
  <c r="F30" i="32" a="1"/>
  <c r="F30" i="32" s="1"/>
  <c r="F31" i="32" a="1"/>
  <c r="F31" i="32" s="1"/>
  <c r="F32" i="32" a="1"/>
  <c r="F32" i="32" s="1"/>
  <c r="F33" i="32" a="1"/>
  <c r="F33" i="32" s="1"/>
  <c r="F34" i="32" a="1"/>
  <c r="F34" i="32" s="1"/>
  <c r="F35" i="32" a="1"/>
  <c r="F35" i="32" s="1"/>
  <c r="F36" i="32" a="1"/>
  <c r="F36" i="32" s="1"/>
  <c r="F37" i="32" a="1"/>
  <c r="F37" i="32" s="1"/>
  <c r="F38" i="32" a="1"/>
  <c r="F38" i="32" s="1"/>
  <c r="F39" i="32" a="1"/>
  <c r="F39" i="32" s="1"/>
  <c r="F40" i="32" a="1"/>
  <c r="F40" i="32" s="1"/>
  <c r="F41" i="32" a="1"/>
  <c r="F41" i="32" s="1"/>
  <c r="F42" i="32" a="1"/>
  <c r="F42" i="32" s="1"/>
  <c r="F43" i="32" a="1"/>
  <c r="F43" i="32" s="1"/>
  <c r="F44" i="32" a="1"/>
  <c r="F44" i="32" s="1"/>
  <c r="F45" i="32" a="1"/>
  <c r="F45" i="32" s="1"/>
  <c r="F46" i="32" a="1"/>
  <c r="F46" i="32" s="1"/>
  <c r="F47" i="32" a="1"/>
  <c r="F47" i="32" s="1"/>
  <c r="F48" i="32" a="1"/>
  <c r="F48" i="32" s="1"/>
  <c r="F49" i="32" a="1"/>
  <c r="F49" i="32" s="1"/>
  <c r="F50" i="32" a="1"/>
  <c r="F50" i="32" s="1"/>
  <c r="F51" i="32" a="1"/>
  <c r="F51" i="32" s="1"/>
  <c r="F52" i="32" a="1"/>
  <c r="F52" i="32" s="1"/>
  <c r="F53" i="32" a="1"/>
  <c r="F53" i="32" s="1"/>
  <c r="F54" i="32" a="1"/>
  <c r="F54" i="32" s="1"/>
  <c r="F55" i="32" a="1"/>
  <c r="F55" i="32" s="1"/>
  <c r="F56" i="32" a="1"/>
  <c r="F56" i="32" s="1"/>
  <c r="F57" i="32" a="1"/>
  <c r="F57" i="32" s="1"/>
  <c r="F58" i="32" a="1"/>
  <c r="F58" i="32" s="1"/>
  <c r="F59" i="32" a="1"/>
  <c r="F59" i="32" s="1"/>
  <c r="F60" i="32" a="1"/>
  <c r="F60" i="32" s="1"/>
  <c r="F61" i="32" a="1"/>
  <c r="F61" i="32" s="1"/>
  <c r="F62" i="32" a="1"/>
  <c r="F62" i="32" s="1"/>
  <c r="F63" i="32" a="1"/>
  <c r="F63" i="32" s="1"/>
  <c r="F64" i="32" a="1"/>
  <c r="F64" i="32" s="1"/>
  <c r="F65" i="32" a="1"/>
  <c r="F65" i="32" s="1"/>
  <c r="F66" i="32" a="1"/>
  <c r="F66" i="32" s="1"/>
  <c r="F67" i="32" a="1"/>
  <c r="F67" i="32" s="1"/>
  <c r="F5" i="31" a="1"/>
  <c r="F5" i="31" s="1"/>
  <c r="F5" i="30" a="1"/>
  <c r="F5" i="30" s="1"/>
  <c r="F5" i="29" a="1"/>
  <c r="F5" i="29" s="1"/>
  <c r="F6" i="29" a="1"/>
  <c r="F6" i="29" s="1"/>
  <c r="F7" i="29" a="1"/>
  <c r="F7" i="29" s="1"/>
  <c r="F8" i="29" a="1"/>
  <c r="F8" i="29" s="1"/>
  <c r="F9" i="29" a="1"/>
  <c r="F9" i="29" s="1"/>
  <c r="F10" i="29" a="1"/>
  <c r="F10" i="29" s="1"/>
  <c r="F11" i="29" a="1"/>
  <c r="F11" i="29" s="1"/>
  <c r="F12" i="29" a="1"/>
  <c r="F12" i="29" s="1"/>
  <c r="F13" i="29" a="1"/>
  <c r="F13" i="29" s="1"/>
  <c r="F14" i="29" a="1"/>
  <c r="F14" i="29" s="1"/>
  <c r="F15" i="29" a="1"/>
  <c r="F15" i="29" s="1"/>
  <c r="F16" i="29" a="1"/>
  <c r="F16" i="29" s="1"/>
  <c r="F17" i="29" a="1"/>
  <c r="F17" i="29" s="1"/>
  <c r="F18" i="29" a="1"/>
  <c r="F18" i="29" s="1"/>
  <c r="F19" i="29" a="1"/>
  <c r="F19" i="29" s="1"/>
  <c r="F5" i="28" a="1"/>
  <c r="F5" i="28" s="1"/>
  <c r="F6" i="28" a="1"/>
  <c r="F6" i="28" s="1"/>
  <c r="F7" i="28" a="1"/>
  <c r="F7" i="28" s="1"/>
  <c r="F8" i="28" a="1"/>
  <c r="F8" i="28" s="1"/>
  <c r="F9" i="28" a="1"/>
  <c r="F9" i="28" s="1"/>
  <c r="F10" i="28" a="1"/>
  <c r="F10" i="28" s="1"/>
  <c r="F11" i="28" a="1"/>
  <c r="F11" i="28" s="1"/>
  <c r="F12" i="28" a="1"/>
  <c r="F12" i="28" s="1"/>
  <c r="F13" i="28" a="1"/>
  <c r="F13" i="28" s="1"/>
  <c r="F14" i="28" a="1"/>
  <c r="F14" i="28" s="1"/>
  <c r="F15" i="28" a="1"/>
  <c r="F15" i="28" s="1"/>
  <c r="F16" i="28" a="1"/>
  <c r="F16" i="28" s="1"/>
  <c r="F17" i="28" a="1"/>
  <c r="F17" i="28" s="1"/>
  <c r="F18" i="28" a="1"/>
  <c r="F18" i="28" s="1"/>
  <c r="F19" i="28" a="1"/>
  <c r="F19" i="28" s="1"/>
  <c r="F20" i="28" a="1"/>
  <c r="F20" i="28" s="1"/>
  <c r="F21" i="28" a="1"/>
  <c r="F21" i="28" s="1"/>
  <c r="F22" i="28" a="1"/>
  <c r="F22" i="28" s="1"/>
  <c r="F23" i="28" a="1"/>
  <c r="F23" i="28" s="1"/>
  <c r="F24" i="28" a="1"/>
  <c r="F24" i="28" s="1"/>
  <c r="F25" i="28" a="1"/>
  <c r="F25" i="28" s="1"/>
  <c r="F26" i="28" a="1"/>
  <c r="F26" i="28" s="1"/>
  <c r="F27" i="28" a="1"/>
  <c r="F27" i="28" s="1"/>
  <c r="F28" i="28" a="1"/>
  <c r="F28" i="28" s="1"/>
  <c r="F29" i="28" a="1"/>
  <c r="F29" i="28" s="1"/>
  <c r="F30" i="28" a="1"/>
  <c r="F30" i="28" s="1"/>
  <c r="F31" i="28" a="1"/>
  <c r="F31" i="28" s="1"/>
  <c r="F32" i="28" a="1"/>
  <c r="F32" i="28" s="1"/>
  <c r="F33" i="28" a="1"/>
  <c r="F33" i="28" s="1"/>
  <c r="F34" i="28" a="1"/>
  <c r="F34" i="28" s="1"/>
  <c r="F35" i="28" a="1"/>
  <c r="F35" i="28" s="1"/>
  <c r="F36" i="28" a="1"/>
  <c r="F36" i="28" s="1"/>
  <c r="F37" i="28" a="1"/>
  <c r="F37" i="28" s="1"/>
  <c r="F38" i="28" a="1"/>
  <c r="F38" i="28" s="1"/>
  <c r="F39" i="28" a="1"/>
  <c r="F39" i="28" s="1"/>
  <c r="F40" i="28" a="1"/>
  <c r="F40" i="28" s="1"/>
  <c r="F41" i="28" a="1"/>
  <c r="F41" i="28" s="1"/>
  <c r="F42" i="28" a="1"/>
  <c r="F42" i="28" s="1"/>
  <c r="F43" i="28" a="1"/>
  <c r="F43" i="28" s="1"/>
  <c r="F44" i="28" a="1"/>
  <c r="F44" i="28" s="1"/>
  <c r="F45" i="28" a="1"/>
  <c r="F45" i="28" s="1"/>
  <c r="F46" i="28" a="1"/>
  <c r="F46" i="28" s="1"/>
  <c r="F47" i="28" a="1"/>
  <c r="F47" i="28" s="1"/>
  <c r="F48" i="28" a="1"/>
  <c r="F48" i="28" s="1"/>
  <c r="F49" i="28" a="1"/>
  <c r="F49" i="28" s="1"/>
  <c r="F50" i="28" a="1"/>
  <c r="F50" i="28" s="1"/>
  <c r="F51" i="28" a="1"/>
  <c r="F51" i="28" s="1"/>
  <c r="F52" i="28" a="1"/>
  <c r="F52" i="28" s="1"/>
  <c r="F53" i="28" a="1"/>
  <c r="F53" i="28" s="1"/>
  <c r="F54" i="28" a="1"/>
  <c r="F54" i="28" s="1"/>
  <c r="F55" i="28" a="1"/>
  <c r="F55" i="28" s="1"/>
  <c r="F56" i="28" a="1"/>
  <c r="F56" i="28" s="1"/>
  <c r="F57" i="28" a="1"/>
  <c r="F57" i="28" s="1"/>
  <c r="F58" i="28" a="1"/>
  <c r="F58" i="28" s="1"/>
  <c r="F59" i="28" a="1"/>
  <c r="F59" i="28" s="1"/>
  <c r="F60" i="28" a="1"/>
  <c r="F60" i="28" s="1"/>
  <c r="F61" i="28" a="1"/>
  <c r="F61" i="28" s="1"/>
  <c r="F62" i="28" a="1"/>
  <c r="F62" i="28" s="1"/>
  <c r="F63" i="28" a="1"/>
  <c r="F63" i="28" s="1"/>
  <c r="F64" i="28" a="1"/>
  <c r="F64" i="28" s="1"/>
  <c r="F65" i="28" a="1"/>
  <c r="F65" i="28" s="1"/>
  <c r="F66" i="28" a="1"/>
  <c r="F66" i="28" s="1"/>
  <c r="F67" i="28" a="1"/>
  <c r="F67" i="28" s="1"/>
  <c r="F5" i="27" a="1"/>
  <c r="F5" i="27" s="1"/>
  <c r="F6" i="27" a="1"/>
  <c r="F6" i="27" s="1"/>
  <c r="F7" i="27" a="1"/>
  <c r="F7" i="27" s="1"/>
  <c r="F8" i="27" a="1"/>
  <c r="F8" i="27" s="1"/>
  <c r="F9" i="27" a="1"/>
  <c r="F9" i="27" s="1"/>
  <c r="F10" i="27" a="1"/>
  <c r="F10" i="27" s="1"/>
  <c r="F11" i="27" a="1"/>
  <c r="F11" i="27" s="1"/>
  <c r="F12" i="27" a="1"/>
  <c r="F12" i="27" s="1"/>
  <c r="F13" i="27" a="1"/>
  <c r="F13" i="27" s="1"/>
  <c r="F14" i="27" a="1"/>
  <c r="F14" i="27" s="1"/>
  <c r="F15" i="27" a="1"/>
  <c r="F15" i="27" s="1"/>
  <c r="F16" i="27" a="1"/>
  <c r="F16" i="27" s="1"/>
  <c r="F17" i="27" a="1"/>
  <c r="F17" i="27" s="1"/>
  <c r="F18" i="27" a="1"/>
  <c r="F18" i="27" s="1"/>
  <c r="F19" i="27" a="1"/>
  <c r="F19" i="27" s="1"/>
  <c r="F20" i="27" a="1"/>
  <c r="F20" i="27" s="1"/>
  <c r="F21" i="27" a="1"/>
  <c r="F21" i="27" s="1"/>
  <c r="F22" i="27" a="1"/>
  <c r="F22" i="27" s="1"/>
  <c r="F23" i="27" a="1"/>
  <c r="F23" i="27" s="1"/>
  <c r="F24" i="27" a="1"/>
  <c r="F24" i="27" s="1"/>
  <c r="F25" i="27" a="1"/>
  <c r="F25" i="27" s="1"/>
  <c r="F26" i="27" a="1"/>
  <c r="F26" i="27" s="1"/>
  <c r="F27" i="27" a="1"/>
  <c r="F27" i="27" s="1"/>
  <c r="F28" i="27" a="1"/>
  <c r="F28" i="27" s="1"/>
  <c r="F29" i="27" a="1"/>
  <c r="F29" i="27" s="1"/>
  <c r="F30" i="27" a="1"/>
  <c r="F30" i="27" s="1"/>
  <c r="F31" i="27" a="1"/>
  <c r="F31" i="27" s="1"/>
  <c r="F32" i="27" a="1"/>
  <c r="F32" i="27" s="1"/>
  <c r="F33" i="27" a="1"/>
  <c r="F33" i="27" s="1"/>
  <c r="F34" i="27" a="1"/>
  <c r="F34" i="27" s="1"/>
  <c r="F35" i="27" a="1"/>
  <c r="F35" i="27" s="1"/>
  <c r="F36" i="27" a="1"/>
  <c r="F36" i="27" s="1"/>
  <c r="F37" i="27" a="1"/>
  <c r="F37" i="27" s="1"/>
  <c r="F38" i="27" a="1"/>
  <c r="F38" i="27" s="1"/>
  <c r="F39" i="27" a="1"/>
  <c r="F39" i="27" s="1"/>
  <c r="F40" i="27" a="1"/>
  <c r="F40" i="27" s="1"/>
  <c r="F41" i="27" a="1"/>
  <c r="F41" i="27" s="1"/>
  <c r="F42" i="27" a="1"/>
  <c r="F42" i="27" s="1"/>
  <c r="F43" i="27" a="1"/>
  <c r="F43" i="27" s="1"/>
  <c r="F44" i="27" a="1"/>
  <c r="F44" i="27" s="1"/>
  <c r="F45" i="27" a="1"/>
  <c r="F45" i="27" s="1"/>
  <c r="F46" i="27" a="1"/>
  <c r="F46" i="27" s="1"/>
  <c r="F47" i="27" a="1"/>
  <c r="F47" i="27" s="1"/>
  <c r="F48" i="27" a="1"/>
  <c r="F48" i="27" s="1"/>
  <c r="F49" i="27" a="1"/>
  <c r="F49" i="27" s="1"/>
  <c r="F5" i="26" a="1"/>
  <c r="F5" i="26" s="1"/>
  <c r="F6" i="26" a="1"/>
  <c r="F6" i="26" s="1"/>
  <c r="F7" i="26" a="1"/>
  <c r="F7" i="26" s="1"/>
  <c r="F8" i="26" a="1"/>
  <c r="F8" i="26" s="1"/>
  <c r="F9" i="26" a="1"/>
  <c r="F9" i="26" s="1"/>
  <c r="F10" i="26" a="1"/>
  <c r="F10" i="26" s="1"/>
  <c r="F11" i="26" a="1"/>
  <c r="F11" i="26" s="1"/>
  <c r="F12" i="26" a="1"/>
  <c r="F12" i="26" s="1"/>
  <c r="F13" i="26" a="1"/>
  <c r="F13" i="26" s="1"/>
  <c r="F14" i="26" a="1"/>
  <c r="F14" i="26" s="1"/>
  <c r="F15" i="26" a="1"/>
  <c r="F15" i="26" s="1"/>
  <c r="F16" i="26" a="1"/>
  <c r="F16" i="26" s="1"/>
  <c r="F17" i="26" a="1"/>
  <c r="F17" i="26" s="1"/>
  <c r="F18" i="26" a="1"/>
  <c r="F18" i="26" s="1"/>
  <c r="F19" i="26" a="1"/>
  <c r="F19" i="26" s="1"/>
  <c r="F20" i="26" a="1"/>
  <c r="F20" i="26" s="1"/>
  <c r="F21" i="26" a="1"/>
  <c r="F21" i="26" s="1"/>
  <c r="F22" i="26" a="1"/>
  <c r="F22" i="26" s="1"/>
  <c r="F23" i="26" a="1"/>
  <c r="F23" i="26" s="1"/>
  <c r="F24" i="26" a="1"/>
  <c r="F24" i="26" s="1"/>
  <c r="F25" i="26" a="1"/>
  <c r="F25" i="26" s="1"/>
  <c r="F26" i="26" a="1"/>
  <c r="F26" i="26" s="1"/>
  <c r="F27" i="26" a="1"/>
  <c r="F27" i="26" s="1"/>
  <c r="F28" i="26" a="1"/>
  <c r="F28" i="26" s="1"/>
  <c r="F29" i="26" a="1"/>
  <c r="F29" i="26" s="1"/>
  <c r="F30" i="26" a="1"/>
  <c r="F30" i="26" s="1"/>
  <c r="F5" i="25" a="1"/>
  <c r="F5" i="25" s="1"/>
  <c r="F6" i="25" a="1"/>
  <c r="F6" i="25" s="1"/>
  <c r="F7" i="25" a="1"/>
  <c r="F7" i="25" s="1"/>
  <c r="F8" i="25" a="1"/>
  <c r="F8" i="25" s="1"/>
  <c r="F9" i="25" a="1"/>
  <c r="F9" i="25" s="1"/>
  <c r="F10" i="25" a="1"/>
  <c r="F10" i="25" s="1"/>
  <c r="F11" i="25" a="1"/>
  <c r="F11" i="25" s="1"/>
  <c r="F12" i="25" a="1"/>
  <c r="F12" i="25" s="1"/>
  <c r="F13" i="25" a="1"/>
  <c r="F13" i="25" s="1"/>
  <c r="F14" i="25" a="1"/>
  <c r="F14" i="25" s="1"/>
  <c r="F15" i="25" a="1"/>
  <c r="F15" i="25" s="1"/>
  <c r="F16" i="25" a="1"/>
  <c r="F16" i="25" s="1"/>
  <c r="F17" i="25" a="1"/>
  <c r="F17" i="25" s="1"/>
  <c r="F18" i="25" a="1"/>
  <c r="F18" i="25" s="1"/>
  <c r="F19" i="25" a="1"/>
  <c r="F19" i="25" s="1"/>
  <c r="F20" i="25" a="1"/>
  <c r="F20" i="25" s="1"/>
  <c r="F21" i="25" a="1"/>
  <c r="F21" i="25" s="1"/>
  <c r="F22" i="25" a="1"/>
  <c r="F22" i="25" s="1"/>
  <c r="F23" i="25" a="1"/>
  <c r="F23" i="25" s="1"/>
  <c r="F24" i="25" a="1"/>
  <c r="F24" i="25" s="1"/>
  <c r="F25" i="25" a="1"/>
  <c r="F25" i="25" s="1"/>
  <c r="F26" i="25" a="1"/>
  <c r="F26" i="25" s="1"/>
  <c r="F27" i="25" a="1"/>
  <c r="F27" i="25" s="1"/>
  <c r="F28" i="25" a="1"/>
  <c r="F28" i="25" s="1"/>
  <c r="F29" i="25" a="1"/>
  <c r="F29" i="25" s="1"/>
  <c r="F30" i="25" a="1"/>
  <c r="F30" i="25" s="1"/>
  <c r="F31" i="25" a="1"/>
  <c r="F31" i="25" s="1"/>
  <c r="F32" i="25" a="1"/>
  <c r="F32" i="25" s="1"/>
  <c r="F33" i="25" a="1"/>
  <c r="F33" i="25" s="1"/>
  <c r="F34" i="25" a="1"/>
  <c r="F34" i="25" s="1"/>
  <c r="F35" i="25" a="1"/>
  <c r="F35" i="25" s="1"/>
  <c r="F36" i="25" a="1"/>
  <c r="F36" i="25" s="1"/>
  <c r="F37" i="25" a="1"/>
  <c r="F37" i="25" s="1"/>
  <c r="F5" i="24" a="1"/>
  <c r="F5" i="24" s="1"/>
  <c r="F6" i="24" a="1"/>
  <c r="F6" i="24" s="1"/>
  <c r="F7" i="24" a="1"/>
  <c r="F7" i="24" s="1"/>
  <c r="F8" i="24" a="1"/>
  <c r="F8" i="24" s="1"/>
  <c r="F9" i="24" a="1"/>
  <c r="F9" i="24" s="1"/>
  <c r="F10" i="24" a="1"/>
  <c r="F10" i="24" s="1"/>
  <c r="F11" i="24" a="1"/>
  <c r="F11" i="24" s="1"/>
  <c r="F12" i="24" a="1"/>
  <c r="F12" i="24" s="1"/>
  <c r="F13" i="24" a="1"/>
  <c r="F13" i="24" s="1"/>
  <c r="F14" i="24" a="1"/>
  <c r="F14" i="24" s="1"/>
  <c r="F15" i="24" a="1"/>
  <c r="F15" i="24" s="1"/>
  <c r="F16" i="24" a="1"/>
  <c r="F16" i="24" s="1"/>
  <c r="F17" i="24" a="1"/>
  <c r="F17" i="24" s="1"/>
  <c r="F18" i="24" a="1"/>
  <c r="F18" i="24" s="1"/>
  <c r="F19" i="24" a="1"/>
  <c r="F19" i="24" s="1"/>
  <c r="F20" i="24" a="1"/>
  <c r="F20" i="24" s="1"/>
  <c r="F21" i="24" a="1"/>
  <c r="F21" i="24" s="1"/>
  <c r="F22" i="24" a="1"/>
  <c r="F22" i="24" s="1"/>
  <c r="F23" i="24" a="1"/>
  <c r="F23" i="24" s="1"/>
  <c r="F24" i="24" a="1"/>
  <c r="F24" i="24" s="1"/>
  <c r="F25" i="24" a="1"/>
  <c r="F25" i="24" s="1"/>
  <c r="F26" i="24" a="1"/>
  <c r="F26" i="24" s="1"/>
  <c r="F27" i="24" a="1"/>
  <c r="F27" i="24" s="1"/>
  <c r="F28" i="24" a="1"/>
  <c r="F28" i="24" s="1"/>
  <c r="F29" i="24" a="1"/>
  <c r="F29" i="24" s="1"/>
  <c r="F30" i="24" a="1"/>
  <c r="F30" i="24" s="1"/>
  <c r="F31" i="24" a="1"/>
  <c r="F31" i="24" s="1"/>
  <c r="F32" i="24" a="1"/>
  <c r="F32" i="24" s="1"/>
  <c r="F33" i="24" a="1"/>
  <c r="F33" i="24" s="1"/>
  <c r="F34" i="24" a="1"/>
  <c r="F34" i="24" s="1"/>
  <c r="F35" i="24" a="1"/>
  <c r="F35" i="24" s="1"/>
  <c r="F36" i="24" a="1"/>
  <c r="F36" i="24" s="1"/>
  <c r="F37" i="24" a="1"/>
  <c r="F37" i="24" s="1"/>
  <c r="F38" i="24" a="1"/>
  <c r="F38" i="24" s="1"/>
  <c r="F5" i="23" a="1"/>
  <c r="F5" i="23" s="1"/>
  <c r="F6" i="23" a="1"/>
  <c r="F6" i="23" s="1"/>
  <c r="F7" i="23" a="1"/>
  <c r="F7" i="23" s="1"/>
  <c r="F8" i="23" a="1"/>
  <c r="F8" i="23" s="1"/>
  <c r="F9" i="23" a="1"/>
  <c r="F9" i="23" s="1"/>
  <c r="F10" i="23" a="1"/>
  <c r="F10" i="23" s="1"/>
  <c r="F11" i="23" a="1"/>
  <c r="F11" i="23" s="1"/>
  <c r="F12" i="23" a="1"/>
  <c r="F12" i="23" s="1"/>
  <c r="F13" i="23" a="1"/>
  <c r="F13" i="23" s="1"/>
  <c r="F14" i="23" a="1"/>
  <c r="F14" i="23" s="1"/>
  <c r="F15" i="23" a="1"/>
  <c r="F15" i="23" s="1"/>
  <c r="F16" i="23" a="1"/>
  <c r="F16" i="23" s="1"/>
  <c r="F17" i="23" a="1"/>
  <c r="F17" i="23" s="1"/>
  <c r="F18" i="23" a="1"/>
  <c r="F18" i="23" s="1"/>
  <c r="F19" i="23" a="1"/>
  <c r="F19" i="23" s="1"/>
  <c r="F20" i="23" a="1"/>
  <c r="F20" i="23" s="1"/>
  <c r="F21" i="23" a="1"/>
  <c r="F21" i="23" s="1"/>
  <c r="F22" i="23" a="1"/>
  <c r="F22" i="23" s="1"/>
  <c r="F23" i="23" a="1"/>
  <c r="F23" i="23" s="1"/>
  <c r="F24" i="23" a="1"/>
  <c r="F24" i="23" s="1"/>
  <c r="F25" i="23" a="1"/>
  <c r="F25" i="23" s="1"/>
  <c r="F26" i="23" a="1"/>
  <c r="F26" i="23" s="1"/>
  <c r="F27" i="23" a="1"/>
  <c r="F27" i="23" s="1"/>
  <c r="F28" i="23" a="1"/>
  <c r="F28" i="23" s="1"/>
  <c r="F29" i="23" a="1"/>
  <c r="F29" i="23" s="1"/>
  <c r="F30" i="23" a="1"/>
  <c r="F30" i="23" s="1"/>
  <c r="F31" i="23" a="1"/>
  <c r="F31" i="23" s="1"/>
  <c r="F32" i="23" a="1"/>
  <c r="F32" i="23" s="1"/>
  <c r="F33" i="23" a="1"/>
  <c r="F33" i="23" s="1"/>
  <c r="F34" i="23" a="1"/>
  <c r="F34" i="23" s="1"/>
  <c r="F35" i="23" a="1"/>
  <c r="F35" i="23" s="1"/>
  <c r="F36" i="23" a="1"/>
  <c r="F36" i="23" s="1"/>
  <c r="F37" i="23" a="1"/>
  <c r="F37" i="23" s="1"/>
  <c r="F38" i="23" a="1"/>
  <c r="F38" i="23" s="1"/>
  <c r="F39" i="23" a="1"/>
  <c r="F39" i="23" s="1"/>
  <c r="F40" i="23" a="1"/>
  <c r="F40" i="23" s="1"/>
  <c r="F41" i="23" a="1"/>
  <c r="F41" i="23" s="1"/>
  <c r="F42" i="23" a="1"/>
  <c r="F42" i="23" s="1"/>
  <c r="F43" i="23" a="1"/>
  <c r="F43" i="23" s="1"/>
  <c r="F44" i="23" a="1"/>
  <c r="F44" i="23" s="1"/>
  <c r="F45" i="23" a="1"/>
  <c r="F45" i="23" s="1"/>
  <c r="F5" i="22" a="1"/>
  <c r="F5" i="22" s="1"/>
  <c r="F6" i="22" a="1"/>
  <c r="F6" i="22" s="1"/>
  <c r="F7" i="22" a="1"/>
  <c r="F7" i="22" s="1"/>
  <c r="F8" i="22" a="1"/>
  <c r="F8" i="22" s="1"/>
  <c r="F9" i="22" a="1"/>
  <c r="F9" i="22" s="1"/>
  <c r="F10" i="22" a="1"/>
  <c r="F10" i="22" s="1"/>
  <c r="F11" i="22" a="1"/>
  <c r="F11" i="22" s="1"/>
  <c r="F12" i="22" a="1"/>
  <c r="F12" i="22" s="1"/>
  <c r="F13" i="22" a="1"/>
  <c r="F13" i="22" s="1"/>
  <c r="F14" i="22" a="1"/>
  <c r="F14" i="22" s="1"/>
  <c r="F15" i="22" a="1"/>
  <c r="F15" i="22" s="1"/>
  <c r="F16" i="22" a="1"/>
  <c r="F16" i="22" s="1"/>
  <c r="F5" i="21" a="1"/>
  <c r="F5" i="21" s="1"/>
  <c r="F6" i="21" a="1"/>
  <c r="F6" i="21" s="1"/>
  <c r="F7" i="21" a="1"/>
  <c r="F7" i="21" s="1"/>
  <c r="F8" i="21" a="1"/>
  <c r="F8" i="21" s="1"/>
  <c r="F9" i="21" a="1"/>
  <c r="F9" i="21" s="1"/>
  <c r="F10" i="21" a="1"/>
  <c r="F10" i="21" s="1"/>
  <c r="F11" i="21" a="1"/>
  <c r="F11" i="21" s="1"/>
  <c r="F12" i="21" a="1"/>
  <c r="F12" i="21" s="1"/>
  <c r="F13" i="21" a="1"/>
  <c r="F13" i="21" s="1"/>
  <c r="F14" i="21" a="1"/>
  <c r="F14" i="21" s="1"/>
  <c r="F15" i="21" a="1"/>
  <c r="F15" i="21" s="1"/>
  <c r="F16" i="21" a="1"/>
  <c r="F16" i="21" s="1"/>
  <c r="F17" i="21" a="1"/>
  <c r="F17" i="21" s="1"/>
  <c r="F18" i="21" a="1"/>
  <c r="F18" i="21" s="1"/>
  <c r="F19" i="21" a="1"/>
  <c r="F19" i="21" s="1"/>
  <c r="F20" i="21" a="1"/>
  <c r="F20" i="21" s="1"/>
  <c r="F21" i="21" a="1"/>
  <c r="F21" i="21" s="1"/>
  <c r="F22" i="21" a="1"/>
  <c r="F22" i="21" s="1"/>
  <c r="F23" i="21" a="1"/>
  <c r="F23" i="21" s="1"/>
  <c r="F24" i="21" a="1"/>
  <c r="F24" i="21" s="1"/>
  <c r="F5" i="20" a="1"/>
  <c r="F5" i="20" s="1"/>
  <c r="F6" i="20" a="1"/>
  <c r="F6" i="20" s="1"/>
  <c r="F7" i="20" a="1"/>
  <c r="F7" i="20" s="1"/>
  <c r="F8" i="20" a="1"/>
  <c r="F8" i="20" s="1"/>
  <c r="F9" i="20" a="1"/>
  <c r="F9" i="20" s="1"/>
  <c r="F10" i="20" a="1"/>
  <c r="F10" i="20" s="1"/>
  <c r="F11" i="20" a="1"/>
  <c r="F11" i="20" s="1"/>
  <c r="F12" i="20" a="1"/>
  <c r="F12" i="20" s="1"/>
  <c r="F13" i="20" a="1"/>
  <c r="F13" i="20" s="1"/>
  <c r="F14" i="20" a="1"/>
  <c r="F14" i="20" s="1"/>
  <c r="F15" i="20" a="1"/>
  <c r="F15" i="20" s="1"/>
  <c r="F16" i="20" a="1"/>
  <c r="F16" i="20" s="1"/>
  <c r="F17" i="20" a="1"/>
  <c r="F17" i="20" s="1"/>
  <c r="F18" i="20" a="1"/>
  <c r="F18" i="20" s="1"/>
  <c r="F19" i="20" a="1"/>
  <c r="F19" i="20" s="1"/>
  <c r="F20" i="20" a="1"/>
  <c r="F20" i="20" s="1"/>
  <c r="F21" i="20" a="1"/>
  <c r="F21" i="20" s="1"/>
  <c r="F22" i="20" a="1"/>
  <c r="F22" i="20" s="1"/>
  <c r="F5" i="19" a="1"/>
  <c r="F5" i="19" s="1"/>
  <c r="F6" i="19" a="1"/>
  <c r="F6" i="19" s="1"/>
  <c r="F7" i="19" a="1"/>
  <c r="F7" i="19" s="1"/>
  <c r="F8" i="19" a="1"/>
  <c r="F8" i="19" s="1"/>
  <c r="F9" i="19" a="1"/>
  <c r="F9" i="19" s="1"/>
  <c r="F10" i="19" a="1"/>
  <c r="F10" i="19" s="1"/>
  <c r="F11" i="19" a="1"/>
  <c r="F11" i="19" s="1"/>
  <c r="F12" i="19" a="1"/>
  <c r="F12" i="19" s="1"/>
  <c r="F13" i="19" a="1"/>
  <c r="F13" i="19" s="1"/>
  <c r="F14" i="19" a="1"/>
  <c r="F14" i="19" s="1"/>
  <c r="F15" i="19" a="1"/>
  <c r="F15" i="19" s="1"/>
  <c r="F16" i="19" a="1"/>
  <c r="F16" i="19" s="1"/>
  <c r="F17" i="19" a="1"/>
  <c r="F17" i="19" s="1"/>
  <c r="F18" i="19" a="1"/>
  <c r="F18" i="19" s="1"/>
  <c r="F19" i="19" a="1"/>
  <c r="F19" i="19" s="1"/>
  <c r="F20" i="19" a="1"/>
  <c r="F20" i="19" s="1"/>
  <c r="F21" i="19" a="1"/>
  <c r="F21" i="19" s="1"/>
  <c r="F22" i="19" a="1"/>
  <c r="F22" i="19" s="1"/>
  <c r="F23" i="19" a="1"/>
  <c r="F23" i="19" s="1"/>
  <c r="F24" i="19" a="1"/>
  <c r="F24" i="19" s="1"/>
  <c r="F25" i="19" a="1"/>
  <c r="F25" i="19" s="1"/>
  <c r="F26" i="19" a="1"/>
  <c r="F26" i="19" s="1"/>
  <c r="F27" i="19" a="1"/>
  <c r="F27" i="19" s="1"/>
  <c r="F28" i="19" a="1"/>
  <c r="F28" i="19" s="1"/>
  <c r="F29" i="19" a="1"/>
  <c r="F29" i="19" s="1"/>
  <c r="F30" i="19" a="1"/>
  <c r="F30" i="19" s="1"/>
  <c r="F31" i="19" a="1"/>
  <c r="F31" i="19" s="1"/>
  <c r="F32" i="19" a="1"/>
  <c r="F32" i="19" s="1"/>
  <c r="F33" i="19" a="1"/>
  <c r="F33" i="19" s="1"/>
  <c r="F34" i="19" a="1"/>
  <c r="F34" i="19" s="1"/>
  <c r="F35" i="19" a="1"/>
  <c r="F35" i="19" s="1"/>
  <c r="F5" i="18" a="1"/>
  <c r="F5" i="18" s="1"/>
  <c r="F6" i="18" a="1"/>
  <c r="F6" i="18" s="1"/>
  <c r="F7" i="18" a="1"/>
  <c r="F7" i="18" s="1"/>
  <c r="F8" i="18" a="1"/>
  <c r="F8" i="18" s="1"/>
  <c r="F9" i="18" a="1"/>
  <c r="F9" i="18" s="1"/>
  <c r="F10" i="18" a="1"/>
  <c r="F10" i="18" s="1"/>
  <c r="F11" i="18" a="1"/>
  <c r="F11" i="18" s="1"/>
  <c r="F12" i="18" a="1"/>
  <c r="F12" i="18" s="1"/>
  <c r="F13" i="18" a="1"/>
  <c r="F13" i="18" s="1"/>
  <c r="F14" i="18" a="1"/>
  <c r="F14" i="18" s="1"/>
  <c r="F15" i="18" a="1"/>
  <c r="F15" i="18" s="1"/>
  <c r="F16" i="18" a="1"/>
  <c r="F16" i="18" s="1"/>
  <c r="F17" i="18" a="1"/>
  <c r="F17" i="18" s="1"/>
  <c r="F18" i="18" a="1"/>
  <c r="F18" i="18" s="1"/>
  <c r="F19" i="18" a="1"/>
  <c r="F19" i="18" s="1"/>
  <c r="F20" i="18" a="1"/>
  <c r="F20" i="18" s="1"/>
  <c r="F21" i="18" a="1"/>
  <c r="F21" i="18" s="1"/>
  <c r="F22" i="18" a="1"/>
  <c r="F22" i="18" s="1"/>
  <c r="F23" i="18" a="1"/>
  <c r="F23" i="18" s="1"/>
  <c r="F24" i="18" a="1"/>
  <c r="F24" i="18" s="1"/>
  <c r="F25" i="18" a="1"/>
  <c r="F25" i="18" s="1"/>
  <c r="F26" i="18" a="1"/>
  <c r="F26" i="18" s="1"/>
  <c r="F27" i="18" a="1"/>
  <c r="F27" i="18" s="1"/>
  <c r="F28" i="18" a="1"/>
  <c r="F28" i="18" s="1"/>
  <c r="F29" i="18" a="1"/>
  <c r="F29" i="18" s="1"/>
  <c r="F30" i="18" a="1"/>
  <c r="F30" i="18" s="1"/>
  <c r="F31" i="18" a="1"/>
  <c r="F31" i="18" s="1"/>
  <c r="F32" i="18" a="1"/>
  <c r="F32" i="18" s="1"/>
  <c r="F33" i="18" a="1"/>
  <c r="F33" i="18" s="1"/>
  <c r="F34" i="18" a="1"/>
  <c r="F34" i="18" s="1"/>
  <c r="F35" i="18" a="1"/>
  <c r="F35" i="18" s="1"/>
  <c r="F36" i="18" a="1"/>
  <c r="F36" i="18" s="1"/>
  <c r="F37" i="18" a="1"/>
  <c r="F37" i="18" s="1"/>
  <c r="F38" i="18" a="1"/>
  <c r="F38" i="18" s="1"/>
  <c r="F39" i="18" a="1"/>
  <c r="F39" i="18" s="1"/>
  <c r="F40" i="18" a="1"/>
  <c r="F40" i="18" s="1"/>
  <c r="F41" i="18" a="1"/>
  <c r="F41" i="18" s="1"/>
  <c r="F42" i="18" a="1"/>
  <c r="F42" i="18" s="1"/>
  <c r="F43" i="18" a="1"/>
  <c r="F43" i="18" s="1"/>
  <c r="F44" i="18" a="1"/>
  <c r="F44" i="18" s="1"/>
  <c r="F45" i="18" a="1"/>
  <c r="F45" i="18" s="1"/>
  <c r="F46" i="18" a="1"/>
  <c r="F46" i="18" s="1"/>
  <c r="F47" i="18" a="1"/>
  <c r="F47" i="18" s="1"/>
  <c r="F5" i="17" a="1"/>
  <c r="F5" i="17" s="1"/>
  <c r="F6" i="17" a="1"/>
  <c r="F6" i="17" s="1"/>
  <c r="F7" i="17" a="1"/>
  <c r="F7" i="17" s="1"/>
  <c r="F8" i="17" a="1"/>
  <c r="F8" i="17" s="1"/>
  <c r="F9" i="17" a="1"/>
  <c r="F9" i="17" s="1"/>
  <c r="F10" i="17" a="1"/>
  <c r="F10" i="17" s="1"/>
  <c r="F11" i="17" a="1"/>
  <c r="F11" i="17" s="1"/>
  <c r="F12" i="17" a="1"/>
  <c r="F12" i="17" s="1"/>
  <c r="F13" i="17" a="1"/>
  <c r="F13" i="17" s="1"/>
  <c r="F14" i="17" a="1"/>
  <c r="F14" i="17" s="1"/>
  <c r="F15" i="17" a="1"/>
  <c r="F15" i="17" s="1"/>
  <c r="F16" i="17" a="1"/>
  <c r="F16" i="17" s="1"/>
  <c r="F17" i="17" a="1"/>
  <c r="F17" i="17" s="1"/>
  <c r="F18" i="17" a="1"/>
  <c r="F18" i="17" s="1"/>
  <c r="F19" i="17" a="1"/>
  <c r="F19" i="17" s="1"/>
  <c r="F20" i="17" a="1"/>
  <c r="F20" i="17" s="1"/>
  <c r="F21" i="17" a="1"/>
  <c r="F21" i="17" s="1"/>
  <c r="F22" i="17" a="1"/>
  <c r="F22" i="17" s="1"/>
  <c r="F23" i="17" a="1"/>
  <c r="F23" i="17" s="1"/>
  <c r="F24" i="17" a="1"/>
  <c r="F24" i="17" s="1"/>
  <c r="F25" i="17" a="1"/>
  <c r="F25" i="17" s="1"/>
  <c r="F26" i="17" a="1"/>
  <c r="F26" i="17" s="1"/>
  <c r="F27" i="17" a="1"/>
  <c r="F27" i="17" s="1"/>
  <c r="F28" i="17" a="1"/>
  <c r="F28" i="17" s="1"/>
  <c r="F5" i="16" a="1"/>
  <c r="F5" i="16" s="1"/>
  <c r="F6" i="16" a="1"/>
  <c r="F6" i="16" s="1"/>
  <c r="F7" i="16" a="1"/>
  <c r="F7" i="16" s="1"/>
  <c r="F8" i="16" a="1"/>
  <c r="F8" i="16" s="1"/>
  <c r="F9" i="16" a="1"/>
  <c r="F9" i="16" s="1"/>
  <c r="F10" i="16" a="1"/>
  <c r="F10" i="16" s="1"/>
  <c r="F11" i="16" a="1"/>
  <c r="F11" i="16" s="1"/>
  <c r="F12" i="16" a="1"/>
  <c r="F12" i="16" s="1"/>
  <c r="F13" i="16" a="1"/>
  <c r="F13" i="16" s="1"/>
  <c r="F14" i="16" a="1"/>
  <c r="F14" i="16" s="1"/>
  <c r="F15" i="16" a="1"/>
  <c r="F15" i="16" s="1"/>
  <c r="F16" i="16" a="1"/>
  <c r="F16" i="16" s="1"/>
  <c r="F17" i="16" a="1"/>
  <c r="F17" i="16" s="1"/>
  <c r="F18" i="16" a="1"/>
  <c r="F18" i="16" s="1"/>
  <c r="F19" i="16" a="1"/>
  <c r="F19" i="16" s="1"/>
  <c r="F20" i="16" a="1"/>
  <c r="F20" i="16" s="1"/>
  <c r="F21" i="16" a="1"/>
  <c r="F21" i="16" s="1"/>
  <c r="F22" i="16" a="1"/>
  <c r="F22" i="16" s="1"/>
  <c r="F23" i="16" a="1"/>
  <c r="F23" i="16" s="1"/>
  <c r="F24" i="16" a="1"/>
  <c r="F24" i="16" s="1"/>
  <c r="F25" i="16" a="1"/>
  <c r="F25" i="16" s="1"/>
  <c r="F26" i="16" a="1"/>
  <c r="F26" i="16" s="1"/>
  <c r="F27" i="16" a="1"/>
  <c r="F27" i="16" s="1"/>
  <c r="F28" i="16" a="1"/>
  <c r="F28" i="16" s="1"/>
  <c r="F29" i="16" a="1"/>
  <c r="F29" i="16" s="1"/>
  <c r="F30" i="16" a="1"/>
  <c r="F30" i="16" s="1"/>
  <c r="F31" i="16" a="1"/>
  <c r="F31" i="16" s="1"/>
  <c r="F32" i="16" a="1"/>
  <c r="F32" i="16" s="1"/>
  <c r="F33" i="16" a="1"/>
  <c r="F33" i="16" s="1"/>
  <c r="F34" i="16" a="1"/>
  <c r="F34" i="16" s="1"/>
  <c r="F35" i="16" a="1"/>
  <c r="F35" i="16" s="1"/>
  <c r="F36" i="16" a="1"/>
  <c r="F36" i="16" s="1"/>
  <c r="F37" i="16" a="1"/>
  <c r="F37" i="16" s="1"/>
  <c r="F38" i="16" a="1"/>
  <c r="F38" i="16" s="1"/>
  <c r="F39" i="16" a="1"/>
  <c r="F39" i="16" s="1"/>
  <c r="F40" i="16" a="1"/>
  <c r="F40" i="16" s="1"/>
  <c r="F41" i="16" a="1"/>
  <c r="F41" i="16" s="1"/>
  <c r="F42" i="16" a="1"/>
  <c r="F42" i="16" s="1"/>
  <c r="F5" i="15" a="1"/>
  <c r="F5" i="15" s="1"/>
  <c r="F6" i="15" a="1"/>
  <c r="F6" i="15" s="1"/>
  <c r="F5" i="14" a="1"/>
  <c r="F5" i="14" s="1"/>
  <c r="F6" i="14" a="1"/>
  <c r="F6" i="14" s="1"/>
  <c r="F7" i="14" a="1"/>
  <c r="F7" i="14" s="1"/>
  <c r="F8" i="14" a="1"/>
  <c r="F8" i="14" s="1"/>
  <c r="F9" i="14" a="1"/>
  <c r="F9" i="14" s="1"/>
  <c r="F10" i="14" a="1"/>
  <c r="F10" i="14" s="1"/>
  <c r="F11" i="14" a="1"/>
  <c r="F11" i="14" s="1"/>
  <c r="F12" i="14" a="1"/>
  <c r="F12" i="14" s="1"/>
  <c r="F5" i="13" a="1"/>
  <c r="F5" i="13" s="1"/>
  <c r="F6" i="13" a="1"/>
  <c r="F6" i="13" s="1"/>
  <c r="F7" i="13" a="1"/>
  <c r="F7" i="13" s="1"/>
  <c r="F8" i="13" a="1"/>
  <c r="F8" i="13" s="1"/>
  <c r="F9" i="13" a="1"/>
  <c r="F9" i="13" s="1"/>
  <c r="F10" i="13" a="1"/>
  <c r="F10" i="13" s="1"/>
  <c r="F11" i="13" a="1"/>
  <c r="F11" i="13" s="1"/>
  <c r="F12" i="13" a="1"/>
  <c r="F12" i="13" s="1"/>
  <c r="F13" i="13" a="1"/>
  <c r="F13" i="13" s="1"/>
  <c r="F14" i="13" a="1"/>
  <c r="F14" i="13" s="1"/>
  <c r="F15" i="13" a="1"/>
  <c r="F15" i="13" s="1"/>
  <c r="F16" i="13" a="1"/>
  <c r="F16" i="13" s="1"/>
  <c r="F17" i="13" a="1"/>
  <c r="F17" i="13" s="1"/>
  <c r="F18" i="13" a="1"/>
  <c r="F18" i="13" s="1"/>
  <c r="F19" i="13" a="1"/>
  <c r="F19" i="13" s="1"/>
  <c r="F20" i="13" a="1"/>
  <c r="F20" i="13" s="1"/>
  <c r="F21" i="13" a="1"/>
  <c r="F21" i="13" s="1"/>
  <c r="F22" i="13" a="1"/>
  <c r="F22" i="13" s="1"/>
  <c r="F5" i="12" a="1"/>
  <c r="F5" i="12" s="1"/>
  <c r="F6" i="12" a="1"/>
  <c r="F6" i="12" s="1"/>
  <c r="F7" i="12" a="1"/>
  <c r="F7" i="12" s="1"/>
  <c r="F8" i="12" a="1"/>
  <c r="F8" i="12" s="1"/>
  <c r="F9" i="12" a="1"/>
  <c r="F9" i="12" s="1"/>
  <c r="F10" i="12" a="1"/>
  <c r="F10" i="12" s="1"/>
  <c r="F11" i="12" a="1"/>
  <c r="F11" i="12" s="1"/>
  <c r="F12" i="12" a="1"/>
  <c r="F12" i="12" s="1"/>
  <c r="F13" i="12" a="1"/>
  <c r="F13" i="12" s="1"/>
  <c r="F14" i="12" a="1"/>
  <c r="F14" i="12" s="1"/>
  <c r="F15" i="12" a="1"/>
  <c r="F15" i="12" s="1"/>
  <c r="F16" i="12" a="1"/>
  <c r="F16" i="12" s="1"/>
  <c r="F17" i="12" a="1"/>
  <c r="F17" i="12" s="1"/>
  <c r="F18" i="12" a="1"/>
  <c r="F18" i="12" s="1"/>
  <c r="F19" i="12" a="1"/>
  <c r="F19" i="12" s="1"/>
  <c r="F20" i="12" a="1"/>
  <c r="F20" i="12" s="1"/>
  <c r="F21" i="12" a="1"/>
  <c r="F21" i="12" s="1"/>
  <c r="F22" i="12" a="1"/>
  <c r="F22" i="12" s="1"/>
  <c r="F23" i="12" a="1"/>
  <c r="F23" i="12" s="1"/>
  <c r="F24" i="12" a="1"/>
  <c r="F24" i="12" s="1"/>
  <c r="F25" i="12" a="1"/>
  <c r="F25" i="12" s="1"/>
  <c r="F26" i="12" a="1"/>
  <c r="F26" i="12" s="1"/>
  <c r="F5" i="11" a="1"/>
  <c r="F5" i="11" s="1"/>
  <c r="F6" i="11" a="1"/>
  <c r="F6" i="11" s="1"/>
  <c r="F7" i="11" a="1"/>
  <c r="F7" i="11" s="1"/>
  <c r="F8" i="11" a="1"/>
  <c r="F8" i="11" s="1"/>
  <c r="F9" i="11" a="1"/>
  <c r="F9" i="11" s="1"/>
  <c r="F10" i="11" a="1"/>
  <c r="F10" i="11" s="1"/>
  <c r="F11" i="11" a="1"/>
  <c r="F11" i="11" s="1"/>
  <c r="F12" i="11" a="1"/>
  <c r="F12" i="11" s="1"/>
  <c r="F13" i="11" a="1"/>
  <c r="F13" i="11" s="1"/>
  <c r="F14" i="11" a="1"/>
  <c r="F14" i="11" s="1"/>
  <c r="F15" i="11" a="1"/>
  <c r="F15" i="11" s="1"/>
  <c r="F16" i="11" a="1"/>
  <c r="F16" i="11" s="1"/>
  <c r="F17" i="11" a="1"/>
  <c r="F17" i="11" s="1"/>
  <c r="F18" i="11" a="1"/>
  <c r="F18" i="11" s="1"/>
  <c r="F19" i="11" a="1"/>
  <c r="F19" i="11" s="1"/>
  <c r="F20" i="11" a="1"/>
  <c r="F20" i="11" s="1"/>
  <c r="F21" i="11" a="1"/>
  <c r="F21" i="11" s="1"/>
  <c r="F22" i="11" a="1"/>
  <c r="F22" i="11" s="1"/>
  <c r="F23" i="11" a="1"/>
  <c r="F23" i="11" s="1"/>
  <c r="F24" i="11" a="1"/>
  <c r="F24" i="11" s="1"/>
  <c r="F25" i="11" a="1"/>
  <c r="F25" i="11" s="1"/>
  <c r="F26" i="11" a="1"/>
  <c r="F26" i="11" s="1"/>
  <c r="F5" i="10" a="1"/>
  <c r="F5" i="10" s="1"/>
  <c r="F6" i="10" a="1"/>
  <c r="F6" i="10" s="1"/>
  <c r="F7" i="10" a="1"/>
  <c r="F7" i="10" s="1"/>
  <c r="F8" i="10" a="1"/>
  <c r="F8" i="10" s="1"/>
  <c r="F9" i="10" a="1"/>
  <c r="F9" i="10" s="1"/>
  <c r="F10" i="10" a="1"/>
  <c r="F10" i="10" s="1"/>
  <c r="F11" i="10" a="1"/>
  <c r="F11" i="10" s="1"/>
  <c r="F12" i="10" a="1"/>
  <c r="F12" i="10" s="1"/>
  <c r="F5" i="9" a="1"/>
  <c r="F5" i="9" s="1"/>
  <c r="F6" i="9" a="1"/>
  <c r="F6" i="9" s="1"/>
  <c r="F7" i="9" a="1"/>
  <c r="F7" i="9" s="1"/>
  <c r="F8" i="9" a="1"/>
  <c r="F8" i="9" s="1"/>
  <c r="F9" i="9" a="1"/>
  <c r="F9" i="9" s="1"/>
  <c r="F10" i="9" a="1"/>
  <c r="F10" i="9" s="1"/>
  <c r="F11" i="9" a="1"/>
  <c r="F11" i="9" s="1"/>
  <c r="F12" i="9" a="1"/>
  <c r="F12" i="9" s="1"/>
  <c r="F13" i="9" a="1"/>
  <c r="F13" i="9" s="1"/>
  <c r="F14" i="9" a="1"/>
  <c r="F14" i="9" s="1"/>
  <c r="F15" i="9" a="1"/>
  <c r="F15" i="9" s="1"/>
  <c r="F16" i="9" a="1"/>
  <c r="F16" i="9" s="1"/>
  <c r="F17" i="9" a="1"/>
  <c r="F17" i="9" s="1"/>
  <c r="F18" i="9" a="1"/>
  <c r="F18" i="9" s="1"/>
  <c r="F19" i="9" a="1"/>
  <c r="F19" i="9" s="1"/>
  <c r="F20" i="9" a="1"/>
  <c r="F20" i="9" s="1"/>
  <c r="F21" i="9" a="1"/>
  <c r="F21" i="9" s="1"/>
  <c r="F22" i="9" a="1"/>
  <c r="F22" i="9" s="1"/>
  <c r="F5" i="8" a="1"/>
  <c r="F5" i="8" s="1"/>
  <c r="F6" i="8" a="1"/>
  <c r="F6" i="8" s="1"/>
  <c r="F7" i="8" a="1"/>
  <c r="F7" i="8" s="1"/>
  <c r="F8" i="8" a="1"/>
  <c r="F8" i="8" s="1"/>
  <c r="F9" i="8" a="1"/>
  <c r="F9" i="8" s="1"/>
  <c r="F10" i="8" a="1"/>
  <c r="F10" i="8" s="1"/>
  <c r="F11" i="8" a="1"/>
  <c r="F11" i="8" s="1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F21" i="8" a="1"/>
  <c r="F21" i="8" s="1"/>
  <c r="F22" i="8" a="1"/>
  <c r="F22" i="8" s="1"/>
  <c r="F23" i="8" a="1"/>
  <c r="F23" i="8" s="1"/>
  <c r="F5" i="7" a="1"/>
  <c r="F5" i="7" s="1"/>
  <c r="F6" i="7" a="1"/>
  <c r="F6" i="7" s="1"/>
  <c r="F7" i="7" a="1"/>
  <c r="F7" i="7" s="1"/>
  <c r="F8" i="7" a="1"/>
  <c r="F8" i="7" s="1"/>
  <c r="F9" i="7" a="1"/>
  <c r="F9" i="7" s="1"/>
  <c r="F10" i="7" a="1"/>
  <c r="F10" i="7" s="1"/>
  <c r="F11" i="7" a="1"/>
  <c r="F11" i="7" s="1"/>
  <c r="F12" i="7" a="1"/>
  <c r="F12" i="7" s="1"/>
  <c r="F13" i="7" a="1"/>
  <c r="F13" i="7" s="1"/>
  <c r="F14" i="7" a="1"/>
  <c r="F14" i="7" s="1"/>
  <c r="F15" i="7" a="1"/>
  <c r="F15" i="7" s="1"/>
  <c r="F16" i="7" a="1"/>
  <c r="F16" i="7" s="1"/>
  <c r="F17" i="7" a="1"/>
  <c r="F17" i="7" s="1"/>
  <c r="F18" i="7" a="1"/>
  <c r="F18" i="7" s="1"/>
  <c r="F19" i="7" a="1"/>
  <c r="F19" i="7" s="1"/>
  <c r="F20" i="7" a="1"/>
  <c r="F20" i="7" s="1"/>
  <c r="F21" i="7" a="1"/>
  <c r="F21" i="7" s="1"/>
  <c r="F22" i="7" a="1"/>
  <c r="F22" i="7" s="1"/>
  <c r="F23" i="7" a="1"/>
  <c r="F23" i="7" s="1"/>
  <c r="F24" i="7" a="1"/>
  <c r="F24" i="7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G48" i="64" a="1"/>
  <c r="G48" i="64" s="1"/>
  <c r="H48" i="64" a="1"/>
  <c r="H48" i="64" s="1"/>
  <c r="G47" i="64" a="1"/>
  <c r="G47" i="64" s="1"/>
  <c r="H47" i="64" a="1"/>
  <c r="H47" i="64" s="1"/>
  <c r="G43" i="68" a="1"/>
  <c r="G43" i="68" s="1"/>
  <c r="H43" i="68" a="1"/>
  <c r="H43" i="68" s="1"/>
  <c r="G48" i="58" a="1"/>
  <c r="G48" i="58" s="1"/>
  <c r="H48" i="58" a="1"/>
  <c r="H48" i="58" s="1"/>
  <c r="G24" i="21" a="1"/>
  <c r="G24" i="21" s="1"/>
  <c r="H16" i="22" a="1"/>
  <c r="H16" i="22" s="1"/>
  <c r="G67" i="32" a="1"/>
  <c r="G67" i="32" s="1"/>
  <c r="H67" i="32" a="1"/>
  <c r="H67" i="32" s="1"/>
  <c r="G15" i="22" a="1"/>
  <c r="G15" i="22" s="1"/>
  <c r="H15" i="22" a="1"/>
  <c r="H15" i="22" s="1"/>
  <c r="G66" i="32" a="1"/>
  <c r="G66" i="32" s="1"/>
  <c r="H66" i="32" a="1"/>
  <c r="H66" i="32" s="1"/>
  <c r="G65" i="32" a="1"/>
  <c r="G65" i="32" s="1"/>
  <c r="H65" i="32" a="1"/>
  <c r="H65" i="32" s="1"/>
  <c r="G29" i="26" a="1"/>
  <c r="G29" i="26" s="1"/>
  <c r="H29" i="26" a="1"/>
  <c r="H29" i="26" s="1"/>
  <c r="G27" i="17" a="1"/>
  <c r="G27" i="17" s="1"/>
  <c r="G46" i="18" a="1"/>
  <c r="G46" i="18" s="1"/>
  <c r="G21" i="20" a="1"/>
  <c r="G21" i="20" s="1"/>
  <c r="G12" i="56" a="1"/>
  <c r="G12" i="56" s="1"/>
  <c r="H12" i="56" a="1"/>
  <c r="H12" i="56" s="1"/>
  <c r="G45" i="58" a="1"/>
  <c r="G45" i="58" s="1"/>
  <c r="H45" i="58" a="1"/>
  <c r="H45" i="58" s="1"/>
  <c r="H44" i="18" a="1"/>
  <c r="H44" i="18" s="1"/>
  <c r="G26" i="12" a="1"/>
  <c r="G26" i="12" s="1"/>
  <c r="G23" i="7" a="1"/>
  <c r="G23" i="7" s="1"/>
  <c r="H23" i="7" a="1"/>
  <c r="H23" i="7" s="1"/>
  <c r="G45" i="27" a="1"/>
  <c r="G45" i="27" s="1"/>
  <c r="H45" i="27" a="1"/>
  <c r="H45" i="27" s="1"/>
  <c r="G63" i="28" a="1"/>
  <c r="G63" i="28" s="1"/>
  <c r="H63" i="28" a="1"/>
  <c r="H63" i="28" s="1"/>
  <c r="G26" i="17" a="1"/>
  <c r="G26" i="17" s="1"/>
  <c r="H26" i="17" a="1"/>
  <c r="H26" i="17" s="1"/>
  <c r="G40" i="23" a="1"/>
  <c r="G40" i="23" s="1"/>
  <c r="H40" i="23" a="1"/>
  <c r="H40" i="23" s="1"/>
  <c r="H31" i="19" a="1"/>
  <c r="H31" i="19" s="1"/>
  <c r="G25" i="17" a="1"/>
  <c r="G25" i="17" s="1"/>
  <c r="G41" i="18" a="1"/>
  <c r="G41" i="18" s="1"/>
  <c r="H41" i="18" a="1"/>
  <c r="H41" i="18" s="1"/>
  <c r="G38" i="23" a="1"/>
  <c r="G38" i="23" s="1"/>
  <c r="H38" i="23" a="1"/>
  <c r="H38" i="23" s="1"/>
  <c r="G62" i="28" a="1"/>
  <c r="G62" i="28" s="1"/>
  <c r="H62" i="28" a="1"/>
  <c r="H62" i="28" s="1"/>
  <c r="G60" i="47" a="1"/>
  <c r="G60" i="47" s="1"/>
  <c r="H60" i="47" a="1"/>
  <c r="H60" i="47" s="1"/>
  <c r="G61" i="28" a="1"/>
  <c r="G61" i="28" s="1"/>
  <c r="H61" i="28" a="1"/>
  <c r="H61" i="28" s="1"/>
  <c r="G59" i="47" a="1"/>
  <c r="G59" i="47" s="1"/>
  <c r="H59" i="47" a="1"/>
  <c r="H59" i="47" s="1"/>
  <c r="G37" i="16" a="1"/>
  <c r="G37" i="16" s="1"/>
  <c r="H37" i="16" a="1"/>
  <c r="H37" i="16" s="1"/>
  <c r="G42" i="44" a="1"/>
  <c r="G42" i="44" s="1"/>
  <c r="H42" i="44" a="1"/>
  <c r="H42" i="44" s="1"/>
  <c r="G40" i="18" a="1"/>
  <c r="G40" i="18" s="1"/>
  <c r="H40" i="18" a="1"/>
  <c r="H40" i="18" s="1"/>
  <c r="G59" i="28" a="1"/>
  <c r="G59" i="28" s="1"/>
  <c r="H59" i="28" a="1"/>
  <c r="H59" i="28" s="1"/>
  <c r="G43" i="27" a="1"/>
  <c r="G43" i="27" s="1"/>
  <c r="H43" i="27" a="1"/>
  <c r="H43" i="27" s="1"/>
  <c r="G49" i="69" a="1"/>
  <c r="G49" i="69" s="1"/>
  <c r="H49" i="69" a="1"/>
  <c r="H49" i="69" s="1"/>
  <c r="G35" i="38" a="1"/>
  <c r="G35" i="38" s="1"/>
  <c r="H35" i="38" a="1"/>
  <c r="H35" i="38" s="1"/>
  <c r="G25" i="11" a="1"/>
  <c r="G25" i="11" s="1"/>
  <c r="H22" i="7" a="1"/>
  <c r="H22" i="7" s="1"/>
  <c r="G24" i="11" a="1"/>
  <c r="G24" i="11" s="1"/>
  <c r="H21" i="7" a="1"/>
  <c r="H21" i="7" s="1"/>
  <c r="G16" i="29" a="1"/>
  <c r="G16" i="29" s="1"/>
  <c r="H16" i="29" a="1"/>
  <c r="H16" i="29" s="1"/>
  <c r="G12" i="62" a="1"/>
  <c r="G12" i="62" s="1"/>
  <c r="H12" i="62" a="1"/>
  <c r="H12" i="62" s="1"/>
  <c r="G23" i="66" a="1"/>
  <c r="G23" i="66" s="1"/>
  <c r="H23" i="66" a="1"/>
  <c r="H23" i="66" s="1"/>
  <c r="G53" i="32" a="1"/>
  <c r="G53" i="32" s="1"/>
  <c r="H53" i="32" a="1"/>
  <c r="H53" i="32" s="1"/>
  <c r="G58" i="54" a="1"/>
  <c r="G58" i="54" s="1"/>
  <c r="H58" i="54" a="1"/>
  <c r="H58" i="54" s="1"/>
  <c r="G28" i="65" a="1"/>
  <c r="G28" i="65" s="1"/>
  <c r="H28" i="65" a="1"/>
  <c r="H28" i="65" s="1"/>
  <c r="G15" i="29" a="1"/>
  <c r="G15" i="29" s="1"/>
  <c r="H15" i="29" a="1"/>
  <c r="H15" i="29" s="1"/>
  <c r="G77" i="59" a="1"/>
  <c r="G77" i="59" s="1"/>
  <c r="H77" i="59" a="1"/>
  <c r="H77" i="59" s="1"/>
  <c r="G36" i="16" a="1"/>
  <c r="G36" i="16" s="1"/>
  <c r="H36" i="16" a="1"/>
  <c r="H36" i="16" s="1"/>
  <c r="G76" i="59" a="1"/>
  <c r="G76" i="59" s="1"/>
  <c r="H76" i="59" a="1"/>
  <c r="H76" i="59" s="1"/>
  <c r="G56" i="47" a="1"/>
  <c r="G56" i="47" s="1"/>
  <c r="H56" i="47" a="1"/>
  <c r="H56" i="47" s="1"/>
  <c r="G56" i="54" a="1"/>
  <c r="G56" i="54" s="1"/>
  <c r="H56" i="54" a="1"/>
  <c r="H56" i="54" s="1"/>
  <c r="G25" i="71" a="1"/>
  <c r="G25" i="71" s="1"/>
  <c r="H25" i="71" a="1"/>
  <c r="H25" i="71" s="1"/>
  <c r="G22" i="71" a="1"/>
  <c r="G22" i="71" s="1"/>
  <c r="H22" i="71" a="1"/>
  <c r="H22" i="71" s="1"/>
  <c r="G51" i="32" a="1"/>
  <c r="G51" i="32" s="1"/>
  <c r="H51" i="32" a="1"/>
  <c r="H51" i="32" s="1"/>
  <c r="G55" i="28" a="1"/>
  <c r="G55" i="28" s="1"/>
  <c r="H55" i="28" a="1"/>
  <c r="H55" i="28" s="1"/>
  <c r="G35" i="16" a="1"/>
  <c r="G35" i="16" s="1"/>
  <c r="H35" i="16" a="1"/>
  <c r="H35" i="16" s="1"/>
  <c r="G39" i="58" a="1"/>
  <c r="G39" i="58" s="1"/>
  <c r="H39" i="58" a="1"/>
  <c r="H39" i="58" s="1"/>
  <c r="G73" i="59" a="1"/>
  <c r="G73" i="59" s="1"/>
  <c r="H73" i="59" a="1"/>
  <c r="H73" i="59" s="1"/>
  <c r="G42" i="64" a="1"/>
  <c r="G42" i="64" s="1"/>
  <c r="H42" i="64" a="1"/>
  <c r="H42" i="64" s="1"/>
  <c r="G27" i="65" a="1"/>
  <c r="G27" i="65" s="1"/>
  <c r="H27" i="65" a="1"/>
  <c r="H27" i="65" s="1"/>
  <c r="G53" i="28" a="1"/>
  <c r="G53" i="28" s="1"/>
  <c r="H53" i="28" a="1"/>
  <c r="H53" i="28" s="1"/>
  <c r="G41" i="64" a="1"/>
  <c r="G41" i="64" s="1"/>
  <c r="H41" i="64" a="1"/>
  <c r="H41" i="64" s="1"/>
  <c r="G40" i="64" a="1"/>
  <c r="G40" i="64" s="1"/>
  <c r="H40" i="64" a="1"/>
  <c r="H40" i="64" s="1"/>
  <c r="G39" i="64" a="1"/>
  <c r="G39" i="64" s="1"/>
  <c r="H39" i="64" a="1"/>
  <c r="H39" i="64" s="1"/>
  <c r="G37" i="68" a="1"/>
  <c r="G37" i="68" s="1"/>
  <c r="H37" i="68" a="1"/>
  <c r="H37" i="68" s="1"/>
  <c r="G36" i="68" a="1"/>
  <c r="G36" i="68" s="1"/>
  <c r="H36" i="68" a="1"/>
  <c r="H36" i="68" s="1"/>
  <c r="G35" i="68" a="1"/>
  <c r="G35" i="68" s="1"/>
  <c r="H35" i="68" a="1"/>
  <c r="H35" i="68" s="1"/>
  <c r="G38" i="64" a="1"/>
  <c r="G38" i="64" s="1"/>
  <c r="H38" i="64" a="1"/>
  <c r="H38" i="64" s="1"/>
  <c r="G32" i="68" a="1"/>
  <c r="G32" i="68" s="1"/>
  <c r="H32" i="68" a="1"/>
  <c r="H32" i="68" s="1"/>
  <c r="G29" i="68" a="1"/>
  <c r="G29" i="68" s="1"/>
  <c r="H29" i="68" a="1"/>
  <c r="H29" i="68" s="1"/>
  <c r="G36" i="35" a="1"/>
  <c r="G36" i="35" s="1"/>
  <c r="H36" i="35" a="1"/>
  <c r="H36" i="35" s="1"/>
  <c r="G24" i="68" a="1"/>
  <c r="G24" i="68" s="1"/>
  <c r="H24" i="68" a="1"/>
  <c r="H24" i="68" s="1"/>
  <c r="G55" i="54" a="1"/>
  <c r="G55" i="54" s="1"/>
  <c r="H55" i="54" a="1"/>
  <c r="H55" i="54" s="1"/>
  <c r="G23" i="68" a="1"/>
  <c r="G23" i="68" s="1"/>
  <c r="H23" i="68" a="1"/>
  <c r="H23" i="68" s="1"/>
  <c r="G22" i="68" a="1"/>
  <c r="G22" i="68" s="1"/>
  <c r="H22" i="68" a="1"/>
  <c r="H22" i="68" s="1"/>
  <c r="G37" i="64" a="1"/>
  <c r="G37" i="64" s="1"/>
  <c r="H37" i="64" a="1"/>
  <c r="H37" i="64" s="1"/>
  <c r="G36" i="64" a="1"/>
  <c r="G36" i="64" s="1"/>
  <c r="H36" i="64" a="1"/>
  <c r="H36" i="64" s="1"/>
  <c r="G18" i="71" a="1"/>
  <c r="G18" i="71" s="1"/>
  <c r="H18" i="71" a="1"/>
  <c r="H18" i="71" s="1"/>
  <c r="G34" i="64" a="1"/>
  <c r="G34" i="64" s="1"/>
  <c r="H34" i="64" a="1"/>
  <c r="H34" i="64" s="1"/>
  <c r="G20" i="67" a="1"/>
  <c r="G20" i="67" s="1"/>
  <c r="H20" i="67" a="1"/>
  <c r="H20" i="67" s="1"/>
  <c r="G19" i="67" a="1"/>
  <c r="G19" i="67" s="1"/>
  <c r="H19" i="67" a="1"/>
  <c r="H19" i="67" s="1"/>
  <c r="G18" i="67" a="1"/>
  <c r="G18" i="67" s="1"/>
  <c r="H18" i="67" a="1"/>
  <c r="H18" i="67" s="1"/>
  <c r="G17" i="67" a="1"/>
  <c r="G17" i="67" s="1"/>
  <c r="H17" i="67" a="1"/>
  <c r="H17" i="67" s="1"/>
  <c r="G16" i="67" a="1"/>
  <c r="G16" i="67" s="1"/>
  <c r="H16" i="67" a="1"/>
  <c r="H16" i="67" s="1"/>
  <c r="G43" i="49" a="1"/>
  <c r="G43" i="49" s="1"/>
  <c r="H43" i="49" a="1"/>
  <c r="H43" i="49" s="1"/>
  <c r="G32" i="38" a="1"/>
  <c r="G32" i="38" s="1"/>
  <c r="H32" i="38" a="1"/>
  <c r="H32" i="38" s="1"/>
  <c r="G31" i="38" a="1"/>
  <c r="G31" i="38" s="1"/>
  <c r="H31" i="38" a="1"/>
  <c r="H31" i="38" s="1"/>
  <c r="G30" i="38" a="1"/>
  <c r="G30" i="38" s="1"/>
  <c r="H30" i="38" a="1"/>
  <c r="H30" i="38" s="1"/>
  <c r="G29" i="38" a="1"/>
  <c r="G29" i="38" s="1"/>
  <c r="H29" i="38" a="1"/>
  <c r="H29" i="38" s="1"/>
  <c r="G28" i="38" a="1"/>
  <c r="G28" i="38" s="1"/>
  <c r="H28" i="38" a="1"/>
  <c r="H28" i="38" s="1"/>
  <c r="G27" i="38" a="1"/>
  <c r="G27" i="38" s="1"/>
  <c r="H27" i="38" a="1"/>
  <c r="H27" i="38" s="1"/>
  <c r="G26" i="38" a="1"/>
  <c r="G26" i="38" s="1"/>
  <c r="H26" i="38" a="1"/>
  <c r="H26" i="38" s="1"/>
  <c r="G16" i="68" a="1"/>
  <c r="G16" i="68" s="1"/>
  <c r="H16" i="68" a="1"/>
  <c r="H16" i="68" s="1"/>
  <c r="G15" i="68" a="1"/>
  <c r="G15" i="68" s="1"/>
  <c r="H15" i="68" a="1"/>
  <c r="H15" i="68" s="1"/>
  <c r="G53" i="51" a="1"/>
  <c r="G53" i="51" s="1"/>
  <c r="H53" i="51" a="1"/>
  <c r="H53" i="51" s="1"/>
  <c r="G18" i="20" a="1"/>
  <c r="G18" i="20" s="1"/>
  <c r="G13" i="5" a="1"/>
  <c r="G13" i="5" s="1"/>
  <c r="H9" i="10" a="1"/>
  <c r="H9" i="10" s="1"/>
  <c r="G18" i="9" a="1"/>
  <c r="G18" i="9" s="1"/>
  <c r="H21" i="11" a="1"/>
  <c r="H21" i="11" s="1"/>
  <c r="G31" i="58" a="1"/>
  <c r="G31" i="58" s="1"/>
  <c r="H31" i="58" a="1"/>
  <c r="H31" i="58" s="1"/>
  <c r="H45" i="28" a="1"/>
  <c r="H45" i="28" s="1"/>
  <c r="G32" i="16" a="1"/>
  <c r="G32" i="16" s="1"/>
  <c r="H32" i="16" a="1"/>
  <c r="H32" i="16" s="1"/>
  <c r="G41" i="28" a="1"/>
  <c r="G41" i="28" s="1"/>
  <c r="H41" i="28" a="1"/>
  <c r="H41" i="28" s="1"/>
  <c r="G48" i="54" a="1"/>
  <c r="G48" i="54" s="1"/>
  <c r="H48" i="54" a="1"/>
  <c r="H48" i="54" s="1"/>
  <c r="G30" i="44" a="1"/>
  <c r="G30" i="44" s="1"/>
  <c r="H30" i="44" a="1"/>
  <c r="H30" i="44" s="1"/>
  <c r="G11" i="29" a="1"/>
  <c r="G11" i="29" s="1"/>
  <c r="H11" i="29" a="1"/>
  <c r="H11" i="29" s="1"/>
  <c r="G13" i="71" a="1"/>
  <c r="G13" i="71" s="1"/>
  <c r="H13" i="71" a="1"/>
  <c r="H13" i="71" s="1"/>
  <c r="G53" i="59" a="1"/>
  <c r="G53" i="59" s="1"/>
  <c r="H53" i="59" a="1"/>
  <c r="H53" i="59" s="1"/>
  <c r="G12" i="71" a="1"/>
  <c r="G12" i="71" s="1"/>
  <c r="H12" i="71" a="1"/>
  <c r="H12" i="71" s="1"/>
  <c r="H21" i="17" a="1"/>
  <c r="H21" i="17" s="1"/>
  <c r="G23" i="19" a="1"/>
  <c r="G23" i="19" s="1"/>
  <c r="H30" i="23" a="1"/>
  <c r="H30" i="23" s="1"/>
  <c r="H30" i="16" a="1"/>
  <c r="H30" i="16" s="1"/>
  <c r="G29" i="18" a="1"/>
  <c r="G29" i="18" s="1"/>
  <c r="G17" i="13" a="1"/>
  <c r="G17" i="13" s="1"/>
  <c r="G8" i="10" a="1"/>
  <c r="G8" i="10" s="1"/>
  <c r="H8" i="14" a="1"/>
  <c r="H8" i="14" s="1"/>
  <c r="G29" i="58" a="1"/>
  <c r="G29" i="58" s="1"/>
  <c r="H29" i="58" a="1"/>
  <c r="H29" i="58" s="1"/>
  <c r="G49" i="59" a="1"/>
  <c r="G49" i="59" s="1"/>
  <c r="H49" i="59" a="1"/>
  <c r="H49" i="59" s="1"/>
  <c r="G35" i="27" a="1"/>
  <c r="G35" i="27" s="1"/>
  <c r="H35" i="27" a="1"/>
  <c r="H35" i="27" s="1"/>
  <c r="G43" i="51" a="1"/>
  <c r="G43" i="51" s="1"/>
  <c r="H43" i="51" a="1"/>
  <c r="H43" i="51" s="1"/>
  <c r="G37" i="69" a="1"/>
  <c r="G37" i="69" s="1"/>
  <c r="H37" i="69" a="1"/>
  <c r="H37" i="69" s="1"/>
  <c r="G36" i="69" a="1"/>
  <c r="G36" i="69" s="1"/>
  <c r="H36" i="69" a="1"/>
  <c r="H36" i="69" s="1"/>
  <c r="G35" i="69" a="1"/>
  <c r="G35" i="69" s="1"/>
  <c r="H35" i="69" a="1"/>
  <c r="H35" i="69" s="1"/>
  <c r="G34" i="69" a="1"/>
  <c r="G34" i="69" s="1"/>
  <c r="H34" i="69" a="1"/>
  <c r="H34" i="69" s="1"/>
  <c r="G6" i="70" a="1"/>
  <c r="G6" i="70" s="1"/>
  <c r="H6" i="70" a="1"/>
  <c r="H6" i="70" s="1"/>
  <c r="G33" i="69" a="1"/>
  <c r="G33" i="69" s="1"/>
  <c r="H33" i="69" a="1"/>
  <c r="H33" i="69" s="1"/>
  <c r="G5" i="70" a="1"/>
  <c r="G5" i="70" s="1"/>
  <c r="H5" i="70" a="1"/>
  <c r="H5" i="70" s="1"/>
  <c r="G32" i="69" a="1"/>
  <c r="G32" i="69" s="1"/>
  <c r="H32" i="69" a="1"/>
  <c r="H32" i="69" s="1"/>
  <c r="G31" i="69" a="1"/>
  <c r="G31" i="69" s="1"/>
  <c r="H31" i="69" a="1"/>
  <c r="H31" i="69" s="1"/>
  <c r="G30" i="69" a="1"/>
  <c r="G30" i="69" s="1"/>
  <c r="H30" i="69" a="1"/>
  <c r="H30" i="69" s="1"/>
  <c r="G29" i="69" a="1"/>
  <c r="G29" i="69" s="1"/>
  <c r="H29" i="69" a="1"/>
  <c r="H29" i="69" s="1"/>
  <c r="G28" i="69" a="1"/>
  <c r="G28" i="69" s="1"/>
  <c r="H28" i="69" a="1"/>
  <c r="H28" i="69" s="1"/>
  <c r="G27" i="69" a="1"/>
  <c r="G27" i="69" s="1"/>
  <c r="H27" i="69" a="1"/>
  <c r="H27" i="69" s="1"/>
  <c r="G26" i="69" a="1"/>
  <c r="G26" i="69" s="1"/>
  <c r="H26" i="69" a="1"/>
  <c r="H26" i="69" s="1"/>
  <c r="G25" i="69" a="1"/>
  <c r="G25" i="69" s="1"/>
  <c r="H25" i="69" a="1"/>
  <c r="H25" i="69" s="1"/>
  <c r="G24" i="69" a="1"/>
  <c r="G24" i="69" s="1"/>
  <c r="H24" i="69" a="1"/>
  <c r="H24" i="69" s="1"/>
  <c r="G23" i="69" a="1"/>
  <c r="G23" i="69" s="1"/>
  <c r="H23" i="69" a="1"/>
  <c r="H23" i="69" s="1"/>
  <c r="G21" i="19" a="1"/>
  <c r="G21" i="19" s="1"/>
  <c r="G19" i="17" a="1"/>
  <c r="G19" i="17" s="1"/>
  <c r="H28" i="16" a="1"/>
  <c r="H28" i="16" s="1"/>
  <c r="G39" i="51" a="1"/>
  <c r="G39" i="51" s="1"/>
  <c r="H39" i="51" a="1"/>
  <c r="H39" i="51" s="1"/>
  <c r="G45" i="59" a="1"/>
  <c r="G45" i="59" s="1"/>
  <c r="H45" i="59" a="1"/>
  <c r="H45" i="59" s="1"/>
  <c r="G33" i="49" a="1"/>
  <c r="G33" i="49" s="1"/>
  <c r="H33" i="49" a="1"/>
  <c r="H33" i="49" s="1"/>
  <c r="G17" i="69" a="1"/>
  <c r="G17" i="69" s="1"/>
  <c r="H17" i="69" a="1"/>
  <c r="H17" i="69" s="1"/>
  <c r="G24" i="41" a="1"/>
  <c r="G24" i="41" s="1"/>
  <c r="H24" i="41" a="1"/>
  <c r="H24" i="41" s="1"/>
  <c r="H24" i="23" a="1"/>
  <c r="H24" i="23" s="1"/>
  <c r="G40" i="54" a="1"/>
  <c r="G40" i="54" s="1"/>
  <c r="H40" i="54" a="1"/>
  <c r="H40" i="54" s="1"/>
  <c r="G45" i="47" a="1"/>
  <c r="G45" i="47" s="1"/>
  <c r="H45" i="47" a="1"/>
  <c r="H45" i="47" s="1"/>
  <c r="G38" i="54" a="1"/>
  <c r="G38" i="54" s="1"/>
  <c r="H38" i="54" a="1"/>
  <c r="H38" i="54" s="1"/>
  <c r="G37" i="54" a="1"/>
  <c r="G37" i="54" s="1"/>
  <c r="H37" i="54" a="1"/>
  <c r="H37" i="54" s="1"/>
  <c r="G26" i="16" a="1"/>
  <c r="G26" i="16" s="1"/>
  <c r="H26" i="16" a="1"/>
  <c r="H26" i="16" s="1"/>
  <c r="G16" i="69" a="1"/>
  <c r="G16" i="69" s="1"/>
  <c r="H16" i="69" a="1"/>
  <c r="H16" i="69" s="1"/>
  <c r="G23" i="65" a="1"/>
  <c r="G23" i="65" s="1"/>
  <c r="H23" i="65" a="1"/>
  <c r="H23" i="65" s="1"/>
  <c r="G9" i="71" a="1"/>
  <c r="G9" i="71" s="1"/>
  <c r="H9" i="71" a="1"/>
  <c r="H9" i="71" s="1"/>
  <c r="G9" i="67" a="1"/>
  <c r="G9" i="67" s="1"/>
  <c r="H9" i="67" a="1"/>
  <c r="H9" i="67" s="1"/>
  <c r="G6" i="15" a="1"/>
  <c r="G6" i="15" s="1"/>
  <c r="H6" i="15" a="1"/>
  <c r="H6" i="15" s="1"/>
  <c r="G36" i="54" a="1"/>
  <c r="G36" i="54" s="1"/>
  <c r="H36" i="54" a="1"/>
  <c r="H36" i="54" s="1"/>
  <c r="G21" i="66" a="1"/>
  <c r="G21" i="66" s="1"/>
  <c r="H21" i="66" a="1"/>
  <c r="H21" i="66" s="1"/>
  <c r="G20" i="66" a="1"/>
  <c r="G20" i="66" s="1"/>
  <c r="H20" i="66" a="1"/>
  <c r="H20" i="66" s="1"/>
  <c r="G19" i="66" a="1"/>
  <c r="G19" i="66" s="1"/>
  <c r="H19" i="66" a="1"/>
  <c r="H19" i="66" s="1"/>
  <c r="G18" i="66" a="1"/>
  <c r="G18" i="66" s="1"/>
  <c r="H18" i="66" a="1"/>
  <c r="H18" i="66" s="1"/>
  <c r="G17" i="66" a="1"/>
  <c r="G17" i="66" s="1"/>
  <c r="H17" i="66" a="1"/>
  <c r="H17" i="66" s="1"/>
  <c r="G16" i="66" a="1"/>
  <c r="G16" i="66" s="1"/>
  <c r="H16" i="66" a="1"/>
  <c r="H16" i="66" s="1"/>
  <c r="G16" i="38" a="1"/>
  <c r="G16" i="38" s="1"/>
  <c r="H16" i="38" a="1"/>
  <c r="H16" i="38" s="1"/>
  <c r="G23" i="64" a="1"/>
  <c r="G23" i="64" s="1"/>
  <c r="H23" i="64" a="1"/>
  <c r="H23" i="64" s="1"/>
  <c r="G22" i="64" a="1"/>
  <c r="G22" i="64" s="1"/>
  <c r="H22" i="64" a="1"/>
  <c r="H22" i="64" s="1"/>
  <c r="G15" i="66" a="1"/>
  <c r="G15" i="66" s="1"/>
  <c r="H15" i="66" a="1"/>
  <c r="H15" i="66" s="1"/>
  <c r="G14" i="66" a="1"/>
  <c r="G14" i="66" s="1"/>
  <c r="H14" i="66" a="1"/>
  <c r="H14" i="66" s="1"/>
  <c r="G13" i="66" a="1"/>
  <c r="G13" i="66" s="1"/>
  <c r="H13" i="66" a="1"/>
  <c r="H13" i="66" s="1"/>
  <c r="G8" i="67" a="1"/>
  <c r="G8" i="67" s="1"/>
  <c r="H8" i="67" a="1"/>
  <c r="H8" i="67" s="1"/>
  <c r="G15" i="69" a="1"/>
  <c r="G15" i="69" s="1"/>
  <c r="H15" i="69" a="1"/>
  <c r="H15" i="69" s="1"/>
  <c r="G35" i="54" a="1"/>
  <c r="G35" i="54" s="1"/>
  <c r="H35" i="54" a="1"/>
  <c r="H35" i="54" s="1"/>
  <c r="G42" i="32" a="1"/>
  <c r="G42" i="32" s="1"/>
  <c r="H42" i="32" a="1"/>
  <c r="H42" i="32" s="1"/>
  <c r="G34" i="54" a="1"/>
  <c r="G34" i="54" s="1"/>
  <c r="H34" i="54" a="1"/>
  <c r="H34" i="54" s="1"/>
  <c r="G14" i="69" a="1"/>
  <c r="G14" i="69" s="1"/>
  <c r="H14" i="69" a="1"/>
  <c r="H14" i="69" s="1"/>
  <c r="G21" i="65" a="1"/>
  <c r="G21" i="65" s="1"/>
  <c r="H21" i="65" a="1"/>
  <c r="H21" i="65" s="1"/>
  <c r="G33" i="54" a="1"/>
  <c r="G33" i="54" s="1"/>
  <c r="H33" i="54" a="1"/>
  <c r="H33" i="54" s="1"/>
  <c r="G32" i="54" a="1"/>
  <c r="G32" i="54" s="1"/>
  <c r="H32" i="54" a="1"/>
  <c r="H32" i="54" s="1"/>
  <c r="G21" i="64" a="1"/>
  <c r="G21" i="64" s="1"/>
  <c r="H21" i="64" a="1"/>
  <c r="H21" i="64" s="1"/>
  <c r="G41" i="32" a="1"/>
  <c r="G41" i="32" s="1"/>
  <c r="H41" i="32" a="1"/>
  <c r="H41" i="32" s="1"/>
  <c r="G25" i="35" a="1"/>
  <c r="G25" i="35" s="1"/>
  <c r="H25" i="35" a="1"/>
  <c r="H25" i="35" s="1"/>
  <c r="G7" i="67" a="1"/>
  <c r="G7" i="67" s="1"/>
  <c r="H7" i="67" a="1"/>
  <c r="H7" i="67" s="1"/>
  <c r="G20" i="64" a="1"/>
  <c r="G20" i="64" s="1"/>
  <c r="H20" i="64" a="1"/>
  <c r="H20" i="64" s="1"/>
  <c r="G40" i="32" a="1"/>
  <c r="G40" i="32" s="1"/>
  <c r="H40" i="32" a="1"/>
  <c r="H40" i="32" s="1"/>
  <c r="G20" i="65" a="1"/>
  <c r="G20" i="65" s="1"/>
  <c r="H20" i="65" a="1"/>
  <c r="H20" i="65" s="1"/>
  <c r="G24" i="35" a="1"/>
  <c r="G24" i="35" s="1"/>
  <c r="H24" i="35" a="1"/>
  <c r="H24" i="35" s="1"/>
  <c r="G13" i="69" a="1"/>
  <c r="G13" i="69" s="1"/>
  <c r="H13" i="69" a="1"/>
  <c r="H13" i="69" s="1"/>
  <c r="G19" i="65" a="1"/>
  <c r="G19" i="65" s="1"/>
  <c r="H19" i="65" a="1"/>
  <c r="H19" i="65" s="1"/>
  <c r="G18" i="65" a="1"/>
  <c r="G18" i="65" s="1"/>
  <c r="H18" i="65" a="1"/>
  <c r="H18" i="65" s="1"/>
  <c r="G17" i="65" a="1"/>
  <c r="G17" i="65" s="1"/>
  <c r="H17" i="65" a="1"/>
  <c r="H17" i="65" s="1"/>
  <c r="G15" i="38" a="1"/>
  <c r="G15" i="38" s="1"/>
  <c r="H15" i="38" a="1"/>
  <c r="H15" i="38" s="1"/>
  <c r="G39" i="32" a="1"/>
  <c r="G39" i="32" s="1"/>
  <c r="H39" i="32" a="1"/>
  <c r="H39" i="32" s="1"/>
  <c r="G38" i="32" a="1"/>
  <c r="G38" i="32" s="1"/>
  <c r="H38" i="32" a="1"/>
  <c r="H38" i="32" s="1"/>
  <c r="G11" i="48" a="1"/>
  <c r="G11" i="48" s="1"/>
  <c r="H11" i="48" a="1"/>
  <c r="H11" i="48" s="1"/>
  <c r="G25" i="16" a="1"/>
  <c r="G25" i="16" s="1"/>
  <c r="H25" i="16" a="1"/>
  <c r="H25" i="16" s="1"/>
  <c r="G12" i="66" a="1"/>
  <c r="G12" i="66" s="1"/>
  <c r="H12" i="66" a="1"/>
  <c r="H12" i="66" s="1"/>
  <c r="G11" i="66" a="1"/>
  <c r="G11" i="66" s="1"/>
  <c r="H11" i="66" a="1"/>
  <c r="H11" i="66" s="1"/>
  <c r="G10" i="66" a="1"/>
  <c r="G10" i="66" s="1"/>
  <c r="H10" i="66" a="1"/>
  <c r="H10" i="66" s="1"/>
  <c r="G12" i="65" a="1"/>
  <c r="G12" i="65" s="1"/>
  <c r="H12" i="65" a="1"/>
  <c r="H12" i="65" s="1"/>
  <c r="G25" i="54" a="1"/>
  <c r="G25" i="54" s="1"/>
  <c r="H25" i="54" a="1"/>
  <c r="H25" i="54" s="1"/>
  <c r="G24" i="54" a="1"/>
  <c r="G24" i="54" s="1"/>
  <c r="H24" i="54" a="1"/>
  <c r="H24" i="54" s="1"/>
  <c r="G17" i="12" a="1"/>
  <c r="G17" i="12" s="1"/>
  <c r="G14" i="8" a="1"/>
  <c r="G14" i="8" s="1"/>
  <c r="H16" i="12" a="1"/>
  <c r="H16" i="12" s="1"/>
  <c r="H23" i="18" a="1"/>
  <c r="H23" i="18" s="1"/>
  <c r="G40" i="59" a="1"/>
  <c r="G40" i="59" s="1"/>
  <c r="H40" i="59" a="1"/>
  <c r="H40" i="59" s="1"/>
  <c r="G14" i="21" a="1"/>
  <c r="G14" i="21" s="1"/>
  <c r="H18" i="19" a="1"/>
  <c r="H18" i="19" s="1"/>
  <c r="G10" i="5" a="1"/>
  <c r="G10" i="5" s="1"/>
  <c r="G22" i="54" a="1"/>
  <c r="G22" i="54" s="1"/>
  <c r="H22" i="54" a="1"/>
  <c r="H22" i="54" s="1"/>
  <c r="G19" i="44" a="1"/>
  <c r="G19" i="44" s="1"/>
  <c r="H19" i="44" a="1"/>
  <c r="H19" i="44" s="1"/>
  <c r="G38" i="59" a="1"/>
  <c r="G38" i="59" s="1"/>
  <c r="H38" i="59" a="1"/>
  <c r="H38" i="59" s="1"/>
  <c r="G21" i="18" a="1"/>
  <c r="G21" i="18" s="1"/>
  <c r="G20" i="18" a="1"/>
  <c r="G20" i="18" s="1"/>
  <c r="G42" i="47" a="1"/>
  <c r="G42" i="47" s="1"/>
  <c r="H42" i="47" a="1"/>
  <c r="H42" i="47" s="1"/>
  <c r="G10" i="48" a="1"/>
  <c r="G10" i="48" s="1"/>
  <c r="H10" i="48" a="1"/>
  <c r="H10" i="48" s="1"/>
  <c r="G41" i="47" a="1"/>
  <c r="G41" i="47" s="1"/>
  <c r="H41" i="47" a="1"/>
  <c r="H41" i="47" s="1"/>
  <c r="G23" i="35" a="1"/>
  <c r="G23" i="35" s="1"/>
  <c r="H23" i="35" a="1"/>
  <c r="H23" i="35" s="1"/>
  <c r="G40" i="47" a="1"/>
  <c r="G40" i="47" s="1"/>
  <c r="H40" i="47" a="1"/>
  <c r="H40" i="47" s="1"/>
  <c r="G21" i="41" a="1"/>
  <c r="G21" i="41" s="1"/>
  <c r="H21" i="41" a="1"/>
  <c r="H21" i="41" s="1"/>
  <c r="G32" i="51" a="1"/>
  <c r="G32" i="51" s="1"/>
  <c r="H32" i="51" a="1"/>
  <c r="H32" i="51" s="1"/>
  <c r="G29" i="49" a="1"/>
  <c r="G29" i="49" s="1"/>
  <c r="H29" i="49" a="1"/>
  <c r="H29" i="49" s="1"/>
  <c r="G23" i="16" a="1"/>
  <c r="G23" i="16" s="1"/>
  <c r="H23" i="16" a="1"/>
  <c r="H23" i="16" s="1"/>
  <c r="G22" i="16" a="1"/>
  <c r="G22" i="16" s="1"/>
  <c r="H22" i="16" a="1"/>
  <c r="H22" i="16" s="1"/>
  <c r="G25" i="27" a="1"/>
  <c r="G25" i="27" s="1"/>
  <c r="H25" i="27" a="1"/>
  <c r="H25" i="27" s="1"/>
  <c r="G31" i="28" a="1"/>
  <c r="G31" i="28" s="1"/>
  <c r="H31" i="28" a="1"/>
  <c r="H31" i="28" s="1"/>
  <c r="G20" i="16" a="1"/>
  <c r="G20" i="16" s="1"/>
  <c r="H20" i="16" a="1"/>
  <c r="H20" i="16" s="1"/>
  <c r="G36" i="32" a="1"/>
  <c r="G36" i="32" s="1"/>
  <c r="H36" i="32" a="1"/>
  <c r="H36" i="32" s="1"/>
  <c r="G9" i="69" a="1"/>
  <c r="G9" i="69" s="1"/>
  <c r="H9" i="69" a="1"/>
  <c r="H9" i="69" s="1"/>
  <c r="G14" i="7" a="1"/>
  <c r="G14" i="7" s="1"/>
  <c r="H13" i="8" a="1"/>
  <c r="H13" i="8" s="1"/>
  <c r="G24" i="27" a="1"/>
  <c r="G24" i="27" s="1"/>
  <c r="H24" i="27" a="1"/>
  <c r="H24" i="27" s="1"/>
  <c r="G14" i="12" a="1"/>
  <c r="G14" i="12" s="1"/>
  <c r="H14" i="12" a="1"/>
  <c r="H14" i="12" s="1"/>
  <c r="G12" i="7" a="1"/>
  <c r="G12" i="7" s="1"/>
  <c r="H13" i="11" a="1"/>
  <c r="H13" i="11" s="1"/>
  <c r="G35" i="32" a="1"/>
  <c r="G35" i="32" s="1"/>
  <c r="H35" i="32" a="1"/>
  <c r="H35" i="32" s="1"/>
  <c r="G39" i="47" a="1"/>
  <c r="G39" i="47" s="1"/>
  <c r="H39" i="47" a="1"/>
  <c r="H39" i="47" s="1"/>
  <c r="G30" i="28" a="1"/>
  <c r="G30" i="28" s="1"/>
  <c r="H30" i="28" a="1"/>
  <c r="H30" i="28" s="1"/>
  <c r="G19" i="64" a="1"/>
  <c r="G19" i="64" s="1"/>
  <c r="H19" i="64" a="1"/>
  <c r="H19" i="64" s="1"/>
  <c r="G18" i="64" a="1"/>
  <c r="G18" i="64" s="1"/>
  <c r="H18" i="64" a="1"/>
  <c r="H18" i="64" s="1"/>
  <c r="G14" i="38" a="1"/>
  <c r="G14" i="38" s="1"/>
  <c r="H14" i="38" a="1"/>
  <c r="H14" i="38" s="1"/>
  <c r="G17" i="64" a="1"/>
  <c r="G17" i="64" s="1"/>
  <c r="H17" i="64" a="1"/>
  <c r="H17" i="64" s="1"/>
  <c r="G13" i="38" a="1"/>
  <c r="G13" i="38" s="1"/>
  <c r="H13" i="38" a="1"/>
  <c r="H13" i="38" s="1"/>
  <c r="G8" i="71" a="1"/>
  <c r="G8" i="71" s="1"/>
  <c r="H8" i="71" a="1"/>
  <c r="H8" i="71" s="1"/>
  <c r="G16" i="64" a="1"/>
  <c r="G16" i="64" s="1"/>
  <c r="H16" i="64" a="1"/>
  <c r="H16" i="64" s="1"/>
  <c r="G15" i="64" a="1"/>
  <c r="G15" i="64" s="1"/>
  <c r="H15" i="64" a="1"/>
  <c r="H15" i="64" s="1"/>
  <c r="G14" i="64" a="1"/>
  <c r="G14" i="64" s="1"/>
  <c r="H14" i="64" a="1"/>
  <c r="H14" i="64" s="1"/>
  <c r="G12" i="38" a="1"/>
  <c r="G12" i="38" s="1"/>
  <c r="H12" i="38" a="1"/>
  <c r="H12" i="38" s="1"/>
  <c r="G13" i="64" a="1"/>
  <c r="G13" i="64" s="1"/>
  <c r="H13" i="64" a="1"/>
  <c r="H13" i="64" s="1"/>
  <c r="G12" i="64" a="1"/>
  <c r="G12" i="64" s="1"/>
  <c r="H12" i="64" a="1"/>
  <c r="H12" i="64" s="1"/>
  <c r="G11" i="64" a="1"/>
  <c r="G11" i="64" s="1"/>
  <c r="H11" i="64" a="1"/>
  <c r="H11" i="64" s="1"/>
  <c r="G10" i="64" a="1"/>
  <c r="G10" i="64" s="1"/>
  <c r="H10" i="64" a="1"/>
  <c r="H10" i="64" s="1"/>
  <c r="G9" i="64" a="1"/>
  <c r="G9" i="64" s="1"/>
  <c r="H9" i="64" a="1"/>
  <c r="H9" i="64" s="1"/>
  <c r="G19" i="24" a="1"/>
  <c r="G19" i="24" s="1"/>
  <c r="H19" i="24" a="1"/>
  <c r="H19" i="24" s="1"/>
  <c r="G7" i="69" a="1"/>
  <c r="G7" i="69" s="1"/>
  <c r="H7" i="69" a="1"/>
  <c r="H7" i="69" s="1"/>
  <c r="G19" i="16" a="1"/>
  <c r="G19" i="16" s="1"/>
  <c r="H19" i="16" a="1"/>
  <c r="H19" i="16" s="1"/>
  <c r="G28" i="28" a="1"/>
  <c r="G28" i="28" s="1"/>
  <c r="H28" i="28" a="1"/>
  <c r="H28" i="28" s="1"/>
  <c r="G34" i="32" a="1"/>
  <c r="G34" i="32" s="1"/>
  <c r="H34" i="32" a="1"/>
  <c r="H34" i="32" s="1"/>
  <c r="H19" i="18" a="1"/>
  <c r="H19" i="18" s="1"/>
  <c r="G18" i="44" a="1"/>
  <c r="G18" i="44" s="1"/>
  <c r="H18" i="44" a="1"/>
  <c r="H18" i="44" s="1"/>
  <c r="G22" i="27" a="1"/>
  <c r="G22" i="27" s="1"/>
  <c r="H22" i="27" a="1"/>
  <c r="H22" i="27" s="1"/>
  <c r="G14" i="19" a="1"/>
  <c r="G14" i="19" s="1"/>
  <c r="H13" i="17" a="1"/>
  <c r="H13" i="17" s="1"/>
  <c r="G31" i="51" a="1"/>
  <c r="G31" i="51" s="1"/>
  <c r="H31" i="51" a="1"/>
  <c r="H31" i="51" s="1"/>
  <c r="G37" i="47" a="1"/>
  <c r="G37" i="47" s="1"/>
  <c r="H37" i="47" a="1"/>
  <c r="H37" i="47" s="1"/>
  <c r="G36" i="47" a="1"/>
  <c r="G36" i="47" s="1"/>
  <c r="H36" i="47" a="1"/>
  <c r="H36" i="47" s="1"/>
  <c r="H16" i="24" a="1"/>
  <c r="H16" i="24" s="1"/>
  <c r="H10" i="20" a="1"/>
  <c r="H10" i="20" s="1"/>
  <c r="G19" i="58" a="1"/>
  <c r="G19" i="58" s="1"/>
  <c r="H19" i="58" a="1"/>
  <c r="H19" i="58" s="1"/>
  <c r="G33" i="32" a="1"/>
  <c r="G33" i="32" s="1"/>
  <c r="H33" i="32" a="1"/>
  <c r="H33" i="32" s="1"/>
  <c r="G32" i="32" a="1"/>
  <c r="G32" i="32" s="1"/>
  <c r="H32" i="32" a="1"/>
  <c r="H32" i="32" s="1"/>
  <c r="G9" i="48" a="1"/>
  <c r="G9" i="48" s="1"/>
  <c r="H9" i="48" a="1"/>
  <c r="H9" i="48" s="1"/>
  <c r="G27" i="28" a="1"/>
  <c r="G27" i="28" s="1"/>
  <c r="H27" i="28" a="1"/>
  <c r="H27" i="28" s="1"/>
  <c r="G7" i="71" a="1"/>
  <c r="G7" i="71" s="1"/>
  <c r="H7" i="71" a="1"/>
  <c r="H7" i="71" s="1"/>
  <c r="G11" i="38" a="1"/>
  <c r="G11" i="38" s="1"/>
  <c r="H11" i="38" a="1"/>
  <c r="H11" i="38" s="1"/>
  <c r="G6" i="67" a="1"/>
  <c r="G6" i="67" s="1"/>
  <c r="H6" i="67" a="1"/>
  <c r="H6" i="67" s="1"/>
  <c r="G6" i="69" a="1"/>
  <c r="G6" i="69" s="1"/>
  <c r="H6" i="69" a="1"/>
  <c r="H6" i="69" s="1"/>
  <c r="G5" i="69" a="1"/>
  <c r="G5" i="69" s="1"/>
  <c r="H5" i="69" a="1"/>
  <c r="H5" i="69" s="1"/>
  <c r="G8" i="66" a="1"/>
  <c r="G8" i="66" s="1"/>
  <c r="H8" i="66" a="1"/>
  <c r="H8" i="66" s="1"/>
  <c r="G12" i="12" a="1"/>
  <c r="G12" i="12" s="1"/>
  <c r="H7" i="10" a="1"/>
  <c r="H7" i="10" s="1"/>
  <c r="G22" i="35" a="1"/>
  <c r="G22" i="35" s="1"/>
  <c r="H22" i="35" a="1"/>
  <c r="H22" i="35" s="1"/>
  <c r="G28" i="49" a="1"/>
  <c r="G28" i="49" s="1"/>
  <c r="H28" i="49" a="1"/>
  <c r="H28" i="49" s="1"/>
  <c r="G27" i="49" a="1"/>
  <c r="G27" i="49" s="1"/>
  <c r="H27" i="49" a="1"/>
  <c r="H27" i="49" s="1"/>
  <c r="G5" i="67" a="1"/>
  <c r="G5" i="67" s="1"/>
  <c r="H5" i="67" a="1"/>
  <c r="H5" i="67" s="1"/>
  <c r="G10" i="38" a="1"/>
  <c r="G10" i="38" s="1"/>
  <c r="H10" i="38" a="1"/>
  <c r="H10" i="38" s="1"/>
  <c r="G35" i="47" a="1"/>
  <c r="G35" i="47" s="1"/>
  <c r="H35" i="47" a="1"/>
  <c r="H35" i="47" s="1"/>
  <c r="G18" i="16" a="1"/>
  <c r="G18" i="16" s="1"/>
  <c r="H18" i="16" a="1"/>
  <c r="H18" i="16" s="1"/>
  <c r="G25" i="49" a="1"/>
  <c r="G25" i="49" s="1"/>
  <c r="H25" i="49" a="1"/>
  <c r="H25" i="49" s="1"/>
  <c r="G17" i="16" a="1"/>
  <c r="G17" i="16" s="1"/>
  <c r="H17" i="16" a="1"/>
  <c r="H17" i="16" s="1"/>
  <c r="G24" i="49" a="1"/>
  <c r="G24" i="49" s="1"/>
  <c r="H24" i="49" a="1"/>
  <c r="H24" i="49" s="1"/>
  <c r="G23" i="49" a="1"/>
  <c r="G23" i="49" s="1"/>
  <c r="H23" i="49" a="1"/>
  <c r="H23" i="49" s="1"/>
  <c r="H10" i="21" a="1"/>
  <c r="H10" i="21" s="1"/>
  <c r="G33" i="47" a="1"/>
  <c r="G33" i="47" s="1"/>
  <c r="H33" i="47" a="1"/>
  <c r="H33" i="47" s="1"/>
  <c r="G22" i="49" a="1"/>
  <c r="G22" i="49" s="1"/>
  <c r="H22" i="49" a="1"/>
  <c r="H22" i="49" s="1"/>
  <c r="G20" i="35" a="1"/>
  <c r="G20" i="35" s="1"/>
  <c r="H20" i="35" a="1"/>
  <c r="H20" i="35" s="1"/>
  <c r="G11" i="65" a="1"/>
  <c r="G11" i="65" s="1"/>
  <c r="H11" i="65" a="1"/>
  <c r="H11" i="65" s="1"/>
  <c r="G11" i="11" a="1"/>
  <c r="G11" i="11" s="1"/>
  <c r="H11" i="11" a="1"/>
  <c r="H11" i="11" s="1"/>
  <c r="G14" i="6" a="1"/>
  <c r="G14" i="6" s="1"/>
  <c r="H14" i="6" a="1"/>
  <c r="H14" i="6" s="1"/>
  <c r="G10" i="12" a="1"/>
  <c r="G10" i="12" s="1"/>
  <c r="G9" i="13" a="1"/>
  <c r="G9" i="13" s="1"/>
  <c r="H9" i="13" a="1"/>
  <c r="H9" i="13" s="1"/>
  <c r="H9" i="12" a="1"/>
  <c r="H9" i="12" s="1"/>
  <c r="G20" i="46" a="1"/>
  <c r="G20" i="46" s="1"/>
  <c r="H20" i="46" a="1"/>
  <c r="H20" i="46" s="1"/>
  <c r="G19" i="46" a="1"/>
  <c r="G19" i="46" s="1"/>
  <c r="H19" i="46" a="1"/>
  <c r="H19" i="46" s="1"/>
  <c r="G18" i="46" a="1"/>
  <c r="G18" i="46" s="1"/>
  <c r="H18" i="46" a="1"/>
  <c r="H18" i="46" s="1"/>
  <c r="G6" i="45" a="1"/>
  <c r="G6" i="45" s="1"/>
  <c r="H6" i="45" a="1"/>
  <c r="H6" i="45" s="1"/>
  <c r="G19" i="35" a="1"/>
  <c r="G19" i="35" s="1"/>
  <c r="H19" i="35" a="1"/>
  <c r="H19" i="35" s="1"/>
  <c r="G18" i="35" a="1"/>
  <c r="G18" i="35" s="1"/>
  <c r="H18" i="35" a="1"/>
  <c r="H18" i="35" s="1"/>
  <c r="G17" i="35" a="1"/>
  <c r="G17" i="35" s="1"/>
  <c r="H17" i="35" a="1"/>
  <c r="H17" i="35" s="1"/>
  <c r="G16" i="35" a="1"/>
  <c r="G16" i="35" s="1"/>
  <c r="H16" i="35" a="1"/>
  <c r="H16" i="35" s="1"/>
  <c r="G5" i="37" a="1"/>
  <c r="G5" i="37" s="1"/>
  <c r="H5" i="37" a="1"/>
  <c r="H5" i="37" s="1"/>
  <c r="G15" i="35" a="1"/>
  <c r="G15" i="35" s="1"/>
  <c r="H15" i="35" a="1"/>
  <c r="H15" i="35" s="1"/>
  <c r="G13" i="6" a="1"/>
  <c r="G13" i="6" s="1"/>
  <c r="H13" i="6" a="1"/>
  <c r="H13" i="6" s="1"/>
  <c r="G31" i="32" a="1"/>
  <c r="G31" i="32" s="1"/>
  <c r="H31" i="32" a="1"/>
  <c r="H31" i="32" s="1"/>
  <c r="G30" i="32" a="1"/>
  <c r="G30" i="32" s="1"/>
  <c r="H30" i="32" a="1"/>
  <c r="H30" i="32" s="1"/>
  <c r="G29" i="32" a="1"/>
  <c r="G29" i="32" s="1"/>
  <c r="H29" i="32" a="1"/>
  <c r="H29" i="32" s="1"/>
  <c r="G28" i="32" a="1"/>
  <c r="G28" i="32" s="1"/>
  <c r="H28" i="32" a="1"/>
  <c r="H28" i="32" s="1"/>
  <c r="G27" i="32" a="1"/>
  <c r="G27" i="32" s="1"/>
  <c r="H27" i="32" a="1"/>
  <c r="H27" i="32" s="1"/>
  <c r="G26" i="32" a="1"/>
  <c r="G26" i="32" s="1"/>
  <c r="H26" i="32" a="1"/>
  <c r="H26" i="32" s="1"/>
  <c r="G25" i="32" a="1"/>
  <c r="G25" i="32" s="1"/>
  <c r="H25" i="32" a="1"/>
  <c r="H25" i="32" s="1"/>
  <c r="G24" i="32" a="1"/>
  <c r="G24" i="32" s="1"/>
  <c r="H24" i="32" a="1"/>
  <c r="H24" i="32" s="1"/>
  <c r="G23" i="32" a="1"/>
  <c r="G23" i="32" s="1"/>
  <c r="H23" i="32" a="1"/>
  <c r="H23" i="32" s="1"/>
  <c r="G22" i="32" a="1"/>
  <c r="G22" i="32" s="1"/>
  <c r="H22" i="32" a="1"/>
  <c r="H22" i="32" s="1"/>
  <c r="G9" i="29" a="1"/>
  <c r="G9" i="29" s="1"/>
  <c r="H9" i="29" a="1"/>
  <c r="H9" i="29" s="1"/>
  <c r="G8" i="29" a="1"/>
  <c r="G8" i="29" s="1"/>
  <c r="H8" i="29" a="1"/>
  <c r="H8" i="29" s="1"/>
  <c r="G7" i="29" a="1"/>
  <c r="G7" i="29" s="1"/>
  <c r="H7" i="29" a="1"/>
  <c r="H7" i="29" s="1"/>
  <c r="G5" i="31" a="1"/>
  <c r="G5" i="31" s="1"/>
  <c r="H5" i="31" a="1"/>
  <c r="H5" i="31" s="1"/>
  <c r="G5" i="30" a="1"/>
  <c r="G5" i="30" s="1"/>
  <c r="H5" i="30" a="1"/>
  <c r="H5" i="30" s="1"/>
  <c r="G19" i="27" a="1"/>
  <c r="G19" i="27" s="1"/>
  <c r="H19" i="27" a="1"/>
  <c r="H19" i="27" s="1"/>
  <c r="G18" i="27" a="1"/>
  <c r="G18" i="27" s="1"/>
  <c r="H18" i="27" a="1"/>
  <c r="H18" i="27" s="1"/>
  <c r="G17" i="27" a="1"/>
  <c r="G17" i="27" s="1"/>
  <c r="H17" i="27" a="1"/>
  <c r="H17" i="27" s="1"/>
  <c r="G16" i="27" a="1"/>
  <c r="G16" i="27" s="1"/>
  <c r="H16" i="27" a="1"/>
  <c r="H16" i="27" s="1"/>
  <c r="G15" i="27" a="1"/>
  <c r="G15" i="27" s="1"/>
  <c r="H15" i="27" a="1"/>
  <c r="H15" i="27" s="1"/>
  <c r="G14" i="27" a="1"/>
  <c r="G14" i="27" s="1"/>
  <c r="H14" i="27" a="1"/>
  <c r="H14" i="27" s="1"/>
  <c r="G13" i="27" a="1"/>
  <c r="G13" i="27" s="1"/>
  <c r="H13" i="27" a="1"/>
  <c r="H13" i="27" s="1"/>
  <c r="G5" i="63" a="1"/>
  <c r="G5" i="63" s="1"/>
  <c r="H5" i="63" a="1"/>
  <c r="H5" i="63" s="1"/>
  <c r="G7" i="62" a="1"/>
  <c r="G7" i="62" s="1"/>
  <c r="H7" i="62" a="1"/>
  <c r="H7" i="62" s="1"/>
  <c r="G6" i="60" a="1"/>
  <c r="G6" i="60" s="1"/>
  <c r="H6" i="60" a="1"/>
  <c r="H6" i="60" s="1"/>
  <c r="G5" i="60" a="1"/>
  <c r="G5" i="60" s="1"/>
  <c r="H5" i="60" a="1"/>
  <c r="H5" i="60" s="1"/>
  <c r="G33" i="59" a="1"/>
  <c r="G33" i="59" s="1"/>
  <c r="H33" i="59" a="1"/>
  <c r="H33" i="59" s="1"/>
  <c r="G32" i="59" a="1"/>
  <c r="G32" i="59" s="1"/>
  <c r="H32" i="59" a="1"/>
  <c r="H32" i="59" s="1"/>
  <c r="G16" i="58" a="1"/>
  <c r="G16" i="58" s="1"/>
  <c r="H16" i="58" a="1"/>
  <c r="H16" i="58" s="1"/>
  <c r="G15" i="58" a="1"/>
  <c r="G15" i="58" s="1"/>
  <c r="H15" i="58" a="1"/>
  <c r="H15" i="58" s="1"/>
  <c r="G14" i="58" a="1"/>
  <c r="G14" i="58" s="1"/>
  <c r="H14" i="58" a="1"/>
  <c r="H14" i="58" s="1"/>
  <c r="G6" i="56" a="1"/>
  <c r="G6" i="56" s="1"/>
  <c r="H6" i="56" a="1"/>
  <c r="H6" i="56" s="1"/>
  <c r="G20" i="54" a="1"/>
  <c r="G20" i="54" s="1"/>
  <c r="H20" i="54" a="1"/>
  <c r="H20" i="54" s="1"/>
  <c r="G7" i="55" a="1"/>
  <c r="G7" i="55" s="1"/>
  <c r="H7" i="55" a="1"/>
  <c r="H7" i="55" s="1"/>
  <c r="G6" i="55" a="1"/>
  <c r="G6" i="55" s="1"/>
  <c r="H6" i="55" a="1"/>
  <c r="H6" i="55" s="1"/>
  <c r="G5" i="55" a="1"/>
  <c r="G5" i="55" s="1"/>
  <c r="H5" i="55" a="1"/>
  <c r="H5" i="55" s="1"/>
  <c r="G19" i="54" a="1"/>
  <c r="G19" i="54" s="1"/>
  <c r="H19" i="54" a="1"/>
  <c r="H19" i="54" s="1"/>
  <c r="G18" i="54" a="1"/>
  <c r="G18" i="54" s="1"/>
  <c r="H18" i="54" a="1"/>
  <c r="H18" i="54" s="1"/>
  <c r="G5" i="56" a="1"/>
  <c r="G5" i="56" s="1"/>
  <c r="H5" i="56" a="1"/>
  <c r="H5" i="56" s="1"/>
  <c r="G28" i="51" a="1"/>
  <c r="G28" i="51" s="1"/>
  <c r="H28" i="51" a="1"/>
  <c r="H28" i="51" s="1"/>
  <c r="G27" i="51" a="1"/>
  <c r="G27" i="51" s="1"/>
  <c r="H27" i="51" a="1"/>
  <c r="H27" i="51" s="1"/>
  <c r="G26" i="51" a="1"/>
  <c r="G26" i="51" s="1"/>
  <c r="H26" i="51" a="1"/>
  <c r="H26" i="51" s="1"/>
  <c r="G25" i="51" a="1"/>
  <c r="G25" i="51" s="1"/>
  <c r="H25" i="51" a="1"/>
  <c r="H25" i="51" s="1"/>
  <c r="G24" i="51" a="1"/>
  <c r="G24" i="51" s="1"/>
  <c r="H24" i="51" a="1"/>
  <c r="H24" i="51" s="1"/>
  <c r="G23" i="51" a="1"/>
  <c r="G23" i="51" s="1"/>
  <c r="H23" i="51" a="1"/>
  <c r="H23" i="51" s="1"/>
  <c r="G22" i="51" a="1"/>
  <c r="G22" i="51" s="1"/>
  <c r="H22" i="51" a="1"/>
  <c r="H22" i="51" s="1"/>
  <c r="G5" i="52" a="1"/>
  <c r="G5" i="52" s="1"/>
  <c r="H5" i="52" a="1"/>
  <c r="H5" i="52" s="1"/>
  <c r="G12" i="6" a="1"/>
  <c r="G12" i="6" s="1"/>
  <c r="H12" i="6" a="1"/>
  <c r="H12" i="6" s="1"/>
  <c r="G11" i="6" a="1"/>
  <c r="G11" i="6" s="1"/>
  <c r="H11" i="6" a="1"/>
  <c r="H11" i="6" s="1"/>
  <c r="G10" i="7" a="1"/>
  <c r="G10" i="7" s="1"/>
  <c r="H10" i="7" a="1"/>
  <c r="H10" i="7" s="1"/>
  <c r="G9" i="7" a="1"/>
  <c r="G9" i="7" s="1"/>
  <c r="H9" i="7" a="1"/>
  <c r="H9" i="7" s="1"/>
  <c r="G8" i="7" a="1"/>
  <c r="G8" i="7" s="1"/>
  <c r="H8" i="7" a="1"/>
  <c r="H8" i="7" s="1"/>
  <c r="G7" i="7" a="1"/>
  <c r="G7" i="7" s="1"/>
  <c r="H7" i="7" a="1"/>
  <c r="H7" i="7" s="1"/>
  <c r="G7" i="8" a="1"/>
  <c r="G7" i="8" s="1"/>
  <c r="H7" i="8" a="1"/>
  <c r="H7" i="8" s="1"/>
  <c r="G6" i="14" a="1"/>
  <c r="G6" i="14" s="1"/>
  <c r="H6" i="14" a="1"/>
  <c r="H6" i="14" s="1"/>
  <c r="G7" i="13" a="1"/>
  <c r="G7" i="13" s="1"/>
  <c r="H7" i="13" a="1"/>
  <c r="H7" i="13" s="1"/>
  <c r="G8" i="12" a="1"/>
  <c r="G8" i="12" s="1"/>
  <c r="H8" i="12" a="1"/>
  <c r="H8" i="12" s="1"/>
  <c r="G8" i="11" a="1"/>
  <c r="G8" i="11" s="1"/>
  <c r="H8" i="11" a="1"/>
  <c r="H8" i="11" s="1"/>
  <c r="G6" i="10" a="1"/>
  <c r="G6" i="10" s="1"/>
  <c r="H6" i="10" a="1"/>
  <c r="H6" i="10" s="1"/>
  <c r="G7" i="9" a="1"/>
  <c r="G7" i="9" s="1"/>
  <c r="H7" i="9" a="1"/>
  <c r="H7" i="9" s="1"/>
  <c r="G10" i="6" a="1"/>
  <c r="G10" i="6" s="1"/>
  <c r="H10" i="6" a="1"/>
  <c r="H10" i="6" s="1"/>
  <c r="G9" i="6" a="1"/>
  <c r="G9" i="6" s="1"/>
  <c r="H9" i="6" a="1"/>
  <c r="H9" i="6" s="1"/>
  <c r="G8" i="6" a="1"/>
  <c r="G8" i="6" s="1"/>
  <c r="H8" i="6" a="1"/>
  <c r="H8" i="6" s="1"/>
  <c r="G7" i="6" a="1"/>
  <c r="G7" i="6" s="1"/>
  <c r="H7" i="6" a="1"/>
  <c r="H7" i="6" s="1"/>
  <c r="G6" i="6" a="1"/>
  <c r="G6" i="6" s="1"/>
  <c r="H6" i="6" a="1"/>
  <c r="H6" i="6" s="1"/>
  <c r="G5" i="6" a="1"/>
  <c r="G5" i="6" s="1"/>
  <c r="H5" i="6" a="1"/>
  <c r="H5" i="6" s="1"/>
  <c r="G21" i="49" a="1"/>
  <c r="G21" i="49" s="1"/>
  <c r="H21" i="49" a="1"/>
  <c r="H21" i="49" s="1"/>
  <c r="G20" i="49" a="1"/>
  <c r="G20" i="49" s="1"/>
  <c r="H20" i="49" a="1"/>
  <c r="H20" i="49" s="1"/>
  <c r="G6" i="50" a="1"/>
  <c r="G6" i="50" s="1"/>
  <c r="H6" i="50" a="1"/>
  <c r="H6" i="50" s="1"/>
  <c r="G5" i="50" a="1"/>
  <c r="G5" i="50" s="1"/>
  <c r="H5" i="50" a="1"/>
  <c r="H5" i="50" s="1"/>
  <c r="G9" i="5" a="1"/>
  <c r="G9" i="5" s="1"/>
  <c r="H9" i="5" a="1"/>
  <c r="H9" i="5" s="1"/>
  <c r="G17" i="54" a="1"/>
  <c r="G17" i="54" s="1"/>
  <c r="H17" i="54" a="1"/>
  <c r="H17" i="54" s="1"/>
  <c r="G16" i="54" a="1"/>
  <c r="G16" i="54" s="1"/>
  <c r="H16" i="54" a="1"/>
  <c r="H16" i="54" s="1"/>
  <c r="G32" i="47" a="1"/>
  <c r="G32" i="47" s="1"/>
  <c r="H32" i="47" a="1"/>
  <c r="H32" i="47" s="1"/>
  <c r="G31" i="47" a="1"/>
  <c r="G31" i="47" s="1"/>
  <c r="H31" i="47" a="1"/>
  <c r="H31" i="47" s="1"/>
  <c r="G30" i="47" a="1"/>
  <c r="G30" i="47" s="1"/>
  <c r="H30" i="47" a="1"/>
  <c r="H30" i="47" s="1"/>
  <c r="G21" i="51" a="1"/>
  <c r="G21" i="51" s="1"/>
  <c r="H21" i="51" a="1"/>
  <c r="H21" i="51" s="1"/>
  <c r="G29" i="47" a="1"/>
  <c r="G29" i="47" s="1"/>
  <c r="H29" i="47" a="1"/>
  <c r="H29" i="47" s="1"/>
  <c r="G28" i="47" a="1"/>
  <c r="G28" i="47" s="1"/>
  <c r="H28" i="47" a="1"/>
  <c r="H28" i="47" s="1"/>
  <c r="G17" i="46" a="1"/>
  <c r="G17" i="46" s="1"/>
  <c r="H17" i="46" a="1"/>
  <c r="H17" i="46" s="1"/>
  <c r="G27" i="47" a="1"/>
  <c r="G27" i="47" s="1"/>
  <c r="H27" i="47" a="1"/>
  <c r="H27" i="47" s="1"/>
  <c r="G26" i="47" a="1"/>
  <c r="G26" i="47" s="1"/>
  <c r="H26" i="47" a="1"/>
  <c r="H26" i="47" s="1"/>
  <c r="G25" i="47" a="1"/>
  <c r="G25" i="47" s="1"/>
  <c r="H25" i="47" a="1"/>
  <c r="H25" i="47" s="1"/>
  <c r="G16" i="46" a="1"/>
  <c r="G16" i="46" s="1"/>
  <c r="H16" i="46" a="1"/>
  <c r="H16" i="46" s="1"/>
  <c r="G24" i="47" a="1"/>
  <c r="G24" i="47" s="1"/>
  <c r="H24" i="47" a="1"/>
  <c r="H24" i="47" s="1"/>
  <c r="G15" i="46" a="1"/>
  <c r="G15" i="46" s="1"/>
  <c r="H15" i="46" a="1"/>
  <c r="H15" i="46" s="1"/>
  <c r="G14" i="46" a="1"/>
  <c r="G14" i="46" s="1"/>
  <c r="H14" i="46" a="1"/>
  <c r="H14" i="46" s="1"/>
  <c r="G13" i="46" a="1"/>
  <c r="G13" i="46" s="1"/>
  <c r="H13" i="46" a="1"/>
  <c r="H13" i="46" s="1"/>
  <c r="G12" i="46" a="1"/>
  <c r="G12" i="46" s="1"/>
  <c r="H12" i="46" a="1"/>
  <c r="H12" i="46" s="1"/>
  <c r="G11" i="46" a="1"/>
  <c r="G11" i="46" s="1"/>
  <c r="H11" i="46" a="1"/>
  <c r="H11" i="46" s="1"/>
  <c r="G23" i="47" a="1"/>
  <c r="G23" i="47" s="1"/>
  <c r="H23" i="47" a="1"/>
  <c r="H23" i="47" s="1"/>
  <c r="G22" i="47" a="1"/>
  <c r="G22" i="47" s="1"/>
  <c r="H22" i="47" a="1"/>
  <c r="H22" i="47" s="1"/>
  <c r="G21" i="47" a="1"/>
  <c r="G21" i="47" s="1"/>
  <c r="H21" i="47" a="1"/>
  <c r="H21" i="47" s="1"/>
  <c r="G10" i="46" a="1"/>
  <c r="G10" i="46" s="1"/>
  <c r="H10" i="46" a="1"/>
  <c r="H10" i="46" s="1"/>
  <c r="G20" i="47" a="1"/>
  <c r="G20" i="47" s="1"/>
  <c r="H20" i="47" a="1"/>
  <c r="H20" i="47" s="1"/>
  <c r="G18" i="47" a="1"/>
  <c r="G18" i="47" s="1"/>
  <c r="H18" i="47" a="1"/>
  <c r="H18" i="47" s="1"/>
  <c r="G17" i="47" a="1"/>
  <c r="G17" i="47" s="1"/>
  <c r="H17" i="47" a="1"/>
  <c r="H17" i="47" s="1"/>
  <c r="G16" i="47" a="1"/>
  <c r="G16" i="47" s="1"/>
  <c r="H16" i="47" a="1"/>
  <c r="H16" i="47" s="1"/>
  <c r="G15" i="47" a="1"/>
  <c r="G15" i="47" s="1"/>
  <c r="H15" i="47" a="1"/>
  <c r="H15" i="47" s="1"/>
  <c r="G13" i="47" a="1"/>
  <c r="G13" i="47" s="1"/>
  <c r="H13" i="47" a="1"/>
  <c r="H13" i="47" s="1"/>
  <c r="G12" i="47" a="1"/>
  <c r="G12" i="47" s="1"/>
  <c r="H12" i="47" a="1"/>
  <c r="H12" i="47" s="1"/>
  <c r="G11" i="47" a="1"/>
  <c r="G11" i="47" s="1"/>
  <c r="H11" i="47" a="1"/>
  <c r="H11" i="47" s="1"/>
  <c r="G5" i="45" a="1"/>
  <c r="G5" i="45" s="1"/>
  <c r="H5" i="45" a="1"/>
  <c r="H5" i="45" s="1"/>
  <c r="G15" i="44" a="1"/>
  <c r="G15" i="44" s="1"/>
  <c r="H15" i="44" a="1"/>
  <c r="H15" i="44" s="1"/>
  <c r="G14" i="44" a="1"/>
  <c r="G14" i="44" s="1"/>
  <c r="H14" i="44" a="1"/>
  <c r="H14" i="44" s="1"/>
  <c r="G13" i="44" a="1"/>
  <c r="G13" i="44" s="1"/>
  <c r="H13" i="44" a="1"/>
  <c r="H13" i="44" s="1"/>
  <c r="G12" i="44" a="1"/>
  <c r="G12" i="44" s="1"/>
  <c r="H12" i="44" a="1"/>
  <c r="H12" i="44" s="1"/>
  <c r="G11" i="44" a="1"/>
  <c r="G11" i="44" s="1"/>
  <c r="H11" i="44" a="1"/>
  <c r="H11" i="44" s="1"/>
  <c r="G10" i="44" a="1"/>
  <c r="G10" i="44" s="1"/>
  <c r="H10" i="44" a="1"/>
  <c r="H10" i="44" s="1"/>
  <c r="G9" i="44" a="1"/>
  <c r="G9" i="44" s="1"/>
  <c r="H9" i="44" a="1"/>
  <c r="H9" i="44" s="1"/>
  <c r="G8" i="44" a="1"/>
  <c r="G8" i="44" s="1"/>
  <c r="H8" i="44" a="1"/>
  <c r="H8" i="44" s="1"/>
  <c r="G7" i="44" a="1"/>
  <c r="G7" i="44" s="1"/>
  <c r="H7" i="44" a="1"/>
  <c r="H7" i="44" s="1"/>
  <c r="G6" i="44" a="1"/>
  <c r="G6" i="44" s="1"/>
  <c r="H6" i="44" a="1"/>
  <c r="H6" i="44" s="1"/>
  <c r="G5" i="44" a="1"/>
  <c r="G5" i="44" s="1"/>
  <c r="H5" i="44" a="1"/>
  <c r="H5" i="44" s="1"/>
  <c r="G5" i="42" a="1"/>
  <c r="G5" i="42" s="1"/>
  <c r="H5" i="42" a="1"/>
  <c r="H5" i="42" s="1"/>
  <c r="G19" i="41" a="1"/>
  <c r="G19" i="41" s="1"/>
  <c r="H19" i="41" a="1"/>
  <c r="H19" i="41" s="1"/>
  <c r="G18" i="41" a="1"/>
  <c r="G18" i="41" s="1"/>
  <c r="H18" i="41" a="1"/>
  <c r="H18" i="41" s="1"/>
  <c r="G17" i="41" a="1"/>
  <c r="G17" i="41" s="1"/>
  <c r="H17" i="41" a="1"/>
  <c r="H17" i="41" s="1"/>
  <c r="G16" i="41" a="1"/>
  <c r="G16" i="41" s="1"/>
  <c r="H16" i="41" a="1"/>
  <c r="H16" i="41" s="1"/>
  <c r="G15" i="41" a="1"/>
  <c r="G15" i="41" s="1"/>
  <c r="H15" i="41" a="1"/>
  <c r="H15" i="41" s="1"/>
  <c r="G14" i="41" a="1"/>
  <c r="G14" i="41" s="1"/>
  <c r="H14" i="41" a="1"/>
  <c r="H14" i="41" s="1"/>
  <c r="G13" i="41" a="1"/>
  <c r="G13" i="41" s="1"/>
  <c r="H13" i="41" a="1"/>
  <c r="H13" i="41" s="1"/>
  <c r="G12" i="41" a="1"/>
  <c r="G12" i="41" s="1"/>
  <c r="H12" i="41" a="1"/>
  <c r="H12" i="41" s="1"/>
  <c r="G11" i="41" a="1"/>
  <c r="G11" i="41" s="1"/>
  <c r="H11" i="41" a="1"/>
  <c r="H11" i="41" s="1"/>
  <c r="G10" i="41" a="1"/>
  <c r="G10" i="41" s="1"/>
  <c r="H10" i="41" a="1"/>
  <c r="H10" i="41" s="1"/>
  <c r="G5" i="43" a="1"/>
  <c r="G5" i="43" s="1"/>
  <c r="H5" i="43" a="1"/>
  <c r="H5" i="43" s="1"/>
  <c r="G6" i="43" a="1"/>
  <c r="G6" i="43" s="1"/>
  <c r="H6" i="43" a="1"/>
  <c r="H6" i="43" s="1"/>
  <c r="G9" i="41" a="1"/>
  <c r="G9" i="41" s="1"/>
  <c r="H9" i="41" a="1"/>
  <c r="H9" i="41" s="1"/>
  <c r="G8" i="41" a="1"/>
  <c r="G8" i="41" s="1"/>
  <c r="H8" i="41" a="1"/>
  <c r="H8" i="41" s="1"/>
  <c r="G7" i="41" a="1"/>
  <c r="G7" i="41" s="1"/>
  <c r="H7" i="41" a="1"/>
  <c r="H7" i="41" s="1"/>
  <c r="G6" i="41" a="1"/>
  <c r="G6" i="41" s="1"/>
  <c r="H6" i="41" a="1"/>
  <c r="H6" i="41" s="1"/>
  <c r="G5" i="41" a="1"/>
  <c r="G5" i="41" s="1"/>
  <c r="H5" i="41" a="1"/>
  <c r="H5" i="41" s="1"/>
  <c r="G9" i="38" a="1"/>
  <c r="G9" i="38" s="1"/>
  <c r="H9" i="38" a="1"/>
  <c r="H9" i="38" s="1"/>
  <c r="G14" i="35" a="1"/>
  <c r="G14" i="35" s="1"/>
  <c r="H14" i="35" a="1"/>
  <c r="H14" i="35" s="1"/>
  <c r="G13" i="35" a="1"/>
  <c r="G13" i="35" s="1"/>
  <c r="H13" i="35" a="1"/>
  <c r="H13" i="35" s="1"/>
  <c r="G12" i="35" a="1"/>
  <c r="G12" i="35" s="1"/>
  <c r="H12" i="35" a="1"/>
  <c r="H12" i="35" s="1"/>
  <c r="G8" i="38" a="1"/>
  <c r="G8" i="38" s="1"/>
  <c r="H8" i="38" a="1"/>
  <c r="H8" i="38" s="1"/>
  <c r="G11" i="35" a="1"/>
  <c r="G11" i="35" s="1"/>
  <c r="H11" i="35" a="1"/>
  <c r="H11" i="35" s="1"/>
  <c r="G10" i="35" a="1"/>
  <c r="G10" i="35" s="1"/>
  <c r="H10" i="35" a="1"/>
  <c r="H10" i="35" s="1"/>
  <c r="G9" i="35" a="1"/>
  <c r="G9" i="35" s="1"/>
  <c r="H9" i="35" a="1"/>
  <c r="H9" i="35" s="1"/>
  <c r="G8" i="35" a="1"/>
  <c r="G8" i="35" s="1"/>
  <c r="H8" i="35" a="1"/>
  <c r="H8" i="35" s="1"/>
  <c r="G7" i="35" a="1"/>
  <c r="G7" i="35" s="1"/>
  <c r="H7" i="35" a="1"/>
  <c r="H7" i="35" s="1"/>
  <c r="G5" i="36" a="1"/>
  <c r="G5" i="36" s="1"/>
  <c r="H5" i="36" a="1"/>
  <c r="H5" i="36" s="1"/>
  <c r="G6" i="35" a="1"/>
  <c r="G6" i="35" s="1"/>
  <c r="H6" i="35" a="1"/>
  <c r="H6" i="35" s="1"/>
  <c r="G21" i="32" a="1"/>
  <c r="G21" i="32" s="1"/>
  <c r="H21" i="32" a="1"/>
  <c r="H21" i="32" s="1"/>
  <c r="G20" i="32" a="1"/>
  <c r="G20" i="32" s="1"/>
  <c r="H20" i="32" a="1"/>
  <c r="H20" i="32" s="1"/>
  <c r="G19" i="32" a="1"/>
  <c r="G19" i="32" s="1"/>
  <c r="H19" i="32" a="1"/>
  <c r="H19" i="32" s="1"/>
  <c r="G18" i="32" a="1"/>
  <c r="G18" i="32" s="1"/>
  <c r="H18" i="32" a="1"/>
  <c r="H18" i="32" s="1"/>
  <c r="G5" i="34" a="1"/>
  <c r="G5" i="34" s="1"/>
  <c r="H5" i="34" a="1"/>
  <c r="H5" i="34" s="1"/>
  <c r="G17" i="32" a="1"/>
  <c r="G17" i="32" s="1"/>
  <c r="H17" i="32" a="1"/>
  <c r="H17" i="32" s="1"/>
  <c r="G5" i="33" a="1"/>
  <c r="G5" i="33" s="1"/>
  <c r="H5" i="33" a="1"/>
  <c r="H5" i="33" s="1"/>
  <c r="G16" i="32" a="1"/>
  <c r="G16" i="32" s="1"/>
  <c r="H16" i="32" a="1"/>
  <c r="H16" i="32" s="1"/>
  <c r="G15" i="32" a="1"/>
  <c r="G15" i="32" s="1"/>
  <c r="H15" i="32" a="1"/>
  <c r="H15" i="32" s="1"/>
  <c r="G14" i="32" a="1"/>
  <c r="G14" i="32" s="1"/>
  <c r="H14" i="32" a="1"/>
  <c r="H14" i="32" s="1"/>
  <c r="G13" i="32" a="1"/>
  <c r="G13" i="32" s="1"/>
  <c r="H13" i="32" a="1"/>
  <c r="H13" i="32" s="1"/>
  <c r="G12" i="32" a="1"/>
  <c r="G12" i="32" s="1"/>
  <c r="H12" i="32" a="1"/>
  <c r="H12" i="32" s="1"/>
  <c r="G11" i="32" a="1"/>
  <c r="G11" i="32" s="1"/>
  <c r="H11" i="32" a="1"/>
  <c r="H11" i="32" s="1"/>
  <c r="G10" i="32" a="1"/>
  <c r="G10" i="32" s="1"/>
  <c r="H10" i="32" a="1"/>
  <c r="H10" i="32" s="1"/>
  <c r="G9" i="32" a="1"/>
  <c r="G9" i="32" s="1"/>
  <c r="H9" i="32" a="1"/>
  <c r="H9" i="32" s="1"/>
  <c r="G8" i="32" a="1"/>
  <c r="G8" i="32" s="1"/>
  <c r="H8" i="32" a="1"/>
  <c r="H8" i="32" s="1"/>
  <c r="G7" i="32" a="1"/>
  <c r="G7" i="32" s="1"/>
  <c r="H7" i="32" a="1"/>
  <c r="H7" i="32" s="1"/>
  <c r="G6" i="32" a="1"/>
  <c r="G6" i="32" s="1"/>
  <c r="H6" i="32" a="1"/>
  <c r="H6" i="32" s="1"/>
  <c r="G25" i="28" a="1"/>
  <c r="G25" i="28" s="1"/>
  <c r="H25" i="28" a="1"/>
  <c r="H25" i="28" s="1"/>
  <c r="G23" i="28" a="1"/>
  <c r="G23" i="28" s="1"/>
  <c r="H23" i="28" a="1"/>
  <c r="H23" i="28" s="1"/>
  <c r="G22" i="28" a="1"/>
  <c r="G22" i="28" s="1"/>
  <c r="H22" i="28" a="1"/>
  <c r="H22" i="28" s="1"/>
  <c r="G21" i="28" a="1"/>
  <c r="G21" i="28" s="1"/>
  <c r="H21" i="28" a="1"/>
  <c r="H21" i="28" s="1"/>
  <c r="G20" i="28" a="1"/>
  <c r="G20" i="28" s="1"/>
  <c r="H20" i="28" a="1"/>
  <c r="H20" i="28" s="1"/>
  <c r="G19" i="28" a="1"/>
  <c r="G19" i="28" s="1"/>
  <c r="H19" i="28" a="1"/>
  <c r="H19" i="28" s="1"/>
  <c r="G18" i="28" a="1"/>
  <c r="G18" i="28" s="1"/>
  <c r="H18" i="28" a="1"/>
  <c r="H18" i="28" s="1"/>
  <c r="G17" i="28" a="1"/>
  <c r="G17" i="28" s="1"/>
  <c r="H17" i="28" a="1"/>
  <c r="H17" i="28" s="1"/>
  <c r="G16" i="28" a="1"/>
  <c r="G16" i="28" s="1"/>
  <c r="H16" i="28" a="1"/>
  <c r="H16" i="28" s="1"/>
  <c r="G15" i="28" a="1"/>
  <c r="G15" i="28" s="1"/>
  <c r="H15" i="28" a="1"/>
  <c r="H15" i="28" s="1"/>
  <c r="G14" i="28" a="1"/>
  <c r="G14" i="28" s="1"/>
  <c r="H14" i="28" a="1"/>
  <c r="H14" i="28" s="1"/>
  <c r="G13" i="28" a="1"/>
  <c r="G13" i="28" s="1"/>
  <c r="H13" i="28" a="1"/>
  <c r="H13" i="28" s="1"/>
  <c r="G12" i="28" a="1"/>
  <c r="G12" i="28" s="1"/>
  <c r="H12" i="28" a="1"/>
  <c r="H12" i="28" s="1"/>
  <c r="G11" i="28" a="1"/>
  <c r="G11" i="28" s="1"/>
  <c r="H11" i="28" a="1"/>
  <c r="H11" i="28" s="1"/>
  <c r="G10" i="28" a="1"/>
  <c r="G10" i="28" s="1"/>
  <c r="H10" i="28" a="1"/>
  <c r="H10" i="28" s="1"/>
  <c r="G9" i="28" a="1"/>
  <c r="G9" i="28" s="1"/>
  <c r="H9" i="28" a="1"/>
  <c r="H9" i="28" s="1"/>
  <c r="G6" i="29" a="1"/>
  <c r="G6" i="29" s="1"/>
  <c r="H6" i="29" a="1"/>
  <c r="H6" i="29" s="1"/>
  <c r="G9" i="68" a="1"/>
  <c r="G9" i="68" s="1"/>
  <c r="H9" i="68" a="1"/>
  <c r="H9" i="68" s="1"/>
  <c r="G8" i="68" a="1"/>
  <c r="G8" i="68" s="1"/>
  <c r="H8" i="68" a="1"/>
  <c r="H8" i="68" s="1"/>
  <c r="G31" i="59" a="1"/>
  <c r="G31" i="59" s="1"/>
  <c r="H31" i="59" a="1"/>
  <c r="H31" i="59" s="1"/>
  <c r="G7" i="68" a="1"/>
  <c r="G7" i="68" s="1"/>
  <c r="H7" i="68" a="1"/>
  <c r="H7" i="68" s="1"/>
  <c r="G6" i="66" a="1"/>
  <c r="G6" i="66" s="1"/>
  <c r="H6" i="66" a="1"/>
  <c r="H6" i="66" s="1"/>
  <c r="G5" i="66" a="1"/>
  <c r="G5" i="66" s="1"/>
  <c r="H5" i="66" a="1"/>
  <c r="H5" i="66" s="1"/>
  <c r="G10" i="65" a="1"/>
  <c r="G10" i="65" s="1"/>
  <c r="H10" i="65" a="1"/>
  <c r="H10" i="65" s="1"/>
  <c r="G15" i="18" a="1"/>
  <c r="G15" i="18" s="1"/>
  <c r="H15" i="18" a="1"/>
  <c r="H15" i="18" s="1"/>
  <c r="G10" i="17" a="1"/>
  <c r="G10" i="17" s="1"/>
  <c r="H10" i="17" a="1"/>
  <c r="H10" i="17" s="1"/>
  <c r="G6" i="62" a="1"/>
  <c r="G6" i="62" s="1"/>
  <c r="H6" i="62" a="1"/>
  <c r="H6" i="62" s="1"/>
  <c r="G7" i="64" a="1"/>
  <c r="G7" i="64" s="1"/>
  <c r="H7" i="64" a="1"/>
  <c r="H7" i="64" s="1"/>
  <c r="G6" i="68" a="1"/>
  <c r="G6" i="68" s="1"/>
  <c r="H6" i="68" a="1"/>
  <c r="H6" i="68" s="1"/>
  <c r="G16" i="16" a="1"/>
  <c r="G16" i="16" s="1"/>
  <c r="H16" i="16" a="1"/>
  <c r="H16" i="16" s="1"/>
  <c r="G16" i="23" a="1"/>
  <c r="G16" i="23" s="1"/>
  <c r="H16" i="23" a="1"/>
  <c r="H16" i="23" s="1"/>
  <c r="G15" i="16" a="1"/>
  <c r="G15" i="16" s="1"/>
  <c r="H15" i="16" a="1"/>
  <c r="H15" i="16" s="1"/>
  <c r="G14" i="16" a="1"/>
  <c r="G14" i="16" s="1"/>
  <c r="H14" i="16" a="1"/>
  <c r="H14" i="16" s="1"/>
  <c r="G7" i="22" a="1"/>
  <c r="G7" i="22" s="1"/>
  <c r="H7" i="22" a="1"/>
  <c r="H7" i="22" s="1"/>
  <c r="G14" i="25" a="1"/>
  <c r="G14" i="25" s="1"/>
  <c r="H14" i="25" a="1"/>
  <c r="H14" i="25" s="1"/>
  <c r="G9" i="17" a="1"/>
  <c r="G9" i="17" s="1"/>
  <c r="H9" i="17" a="1"/>
  <c r="H9" i="17" s="1"/>
  <c r="H14" i="23" a="1"/>
  <c r="H14" i="23" s="1"/>
  <c r="G8" i="25" a="1"/>
  <c r="G8" i="25" s="1"/>
  <c r="H8" i="25" a="1"/>
  <c r="H8" i="25" s="1"/>
  <c r="G9" i="24" a="1"/>
  <c r="G9" i="24" s="1"/>
  <c r="H9" i="24" a="1"/>
  <c r="H9" i="24" s="1"/>
  <c r="G13" i="18" a="1"/>
  <c r="G13" i="18" s="1"/>
  <c r="H13" i="18" a="1"/>
  <c r="H13" i="18" s="1"/>
  <c r="G10" i="19" a="1"/>
  <c r="G10" i="19" s="1"/>
  <c r="H10" i="19" a="1"/>
  <c r="H10" i="19" s="1"/>
  <c r="G9" i="19" a="1"/>
  <c r="G9" i="19" s="1"/>
  <c r="H9" i="19" a="1"/>
  <c r="H9" i="19" s="1"/>
  <c r="G8" i="19" a="1"/>
  <c r="G8" i="19" s="1"/>
  <c r="H8" i="19" a="1"/>
  <c r="H8" i="19" s="1"/>
  <c r="G13" i="23" a="1"/>
  <c r="G13" i="23" s="1"/>
  <c r="H13" i="23" a="1"/>
  <c r="H13" i="23" s="1"/>
  <c r="G7" i="20" a="1"/>
  <c r="G7" i="20" s="1"/>
  <c r="H7" i="20" a="1"/>
  <c r="H7" i="20" s="1"/>
  <c r="G8" i="21" a="1"/>
  <c r="G8" i="21" s="1"/>
  <c r="H8" i="21" a="1"/>
  <c r="H8" i="21" s="1"/>
  <c r="G12" i="23" a="1"/>
  <c r="G12" i="23" s="1"/>
  <c r="H12" i="23" a="1"/>
  <c r="H12" i="23" s="1"/>
  <c r="G6" i="17" a="1"/>
  <c r="G6" i="17" s="1"/>
  <c r="H6" i="17" a="1"/>
  <c r="H6" i="17" s="1"/>
  <c r="G11" i="18" a="1"/>
  <c r="G11" i="18" s="1"/>
  <c r="H11" i="18" a="1"/>
  <c r="H11" i="18" s="1"/>
  <c r="G11" i="26" a="1"/>
  <c r="G11" i="26" s="1"/>
  <c r="H11" i="26" a="1"/>
  <c r="H11" i="26" s="1"/>
  <c r="G10" i="18" a="1"/>
  <c r="G10" i="18" s="1"/>
  <c r="G11" i="27" a="1"/>
  <c r="G11" i="27" s="1"/>
  <c r="H11" i="27" a="1"/>
  <c r="H11" i="27" s="1"/>
  <c r="G5" i="17" a="1"/>
  <c r="G5" i="17" s="1"/>
  <c r="G9" i="26" a="1"/>
  <c r="G9" i="26" s="1"/>
  <c r="H9" i="26" a="1"/>
  <c r="H9" i="26" s="1"/>
  <c r="G9" i="23" a="1"/>
  <c r="G9" i="23" s="1"/>
  <c r="H9" i="23" a="1"/>
  <c r="H9" i="23" s="1"/>
  <c r="G8" i="23" a="1"/>
  <c r="G8" i="23" s="1"/>
  <c r="G7" i="18" a="1"/>
  <c r="G7" i="18" s="1"/>
  <c r="H7" i="18" a="1"/>
  <c r="H7" i="18" s="1"/>
  <c r="G9" i="27" a="1"/>
  <c r="G9" i="27" s="1"/>
  <c r="H9" i="27" a="1"/>
  <c r="H9" i="27" s="1"/>
  <c r="G8" i="27" a="1"/>
  <c r="G8" i="27" s="1"/>
  <c r="H8" i="27" a="1"/>
  <c r="H8" i="27" s="1"/>
  <c r="G7" i="27" a="1"/>
  <c r="G7" i="27" s="1"/>
  <c r="H7" i="27" a="1"/>
  <c r="H7" i="27" s="1"/>
  <c r="G8" i="26" a="1"/>
  <c r="G8" i="26" s="1"/>
  <c r="H8" i="26" a="1"/>
  <c r="H8" i="26" s="1"/>
  <c r="G5" i="18" a="1"/>
  <c r="G5" i="18" s="1"/>
  <c r="H5" i="18" a="1"/>
  <c r="H5" i="18" s="1"/>
  <c r="G6" i="24" a="1"/>
  <c r="G6" i="24" s="1"/>
  <c r="H6" i="24" a="1"/>
  <c r="H6" i="24" s="1"/>
  <c r="G6" i="23" a="1"/>
  <c r="G6" i="23" s="1"/>
  <c r="H6" i="23" a="1"/>
  <c r="H6" i="23" s="1"/>
  <c r="G6" i="22" a="1"/>
  <c r="G6" i="22" s="1"/>
  <c r="H6" i="22" a="1"/>
  <c r="H6" i="22" s="1"/>
  <c r="G6" i="19" a="1"/>
  <c r="G6" i="19" s="1"/>
  <c r="H6" i="19" a="1"/>
  <c r="H6" i="19" s="1"/>
  <c r="G5" i="61" a="1"/>
  <c r="G5" i="61" s="1"/>
  <c r="H5" i="61" a="1"/>
  <c r="H5" i="61" s="1"/>
  <c r="G30" i="59" a="1"/>
  <c r="G30" i="59" s="1"/>
  <c r="H30" i="59" a="1"/>
  <c r="H30" i="59" s="1"/>
  <c r="G29" i="59" a="1"/>
  <c r="G29" i="59" s="1"/>
  <c r="H29" i="59" a="1"/>
  <c r="H29" i="59" s="1"/>
  <c r="G28" i="59" a="1"/>
  <c r="G28" i="59" s="1"/>
  <c r="H28" i="59" a="1"/>
  <c r="H28" i="59" s="1"/>
  <c r="G27" i="59" a="1"/>
  <c r="G27" i="59" s="1"/>
  <c r="H27" i="59" a="1"/>
  <c r="H27" i="59" s="1"/>
  <c r="G26" i="59" a="1"/>
  <c r="G26" i="59" s="1"/>
  <c r="H26" i="59" a="1"/>
  <c r="H26" i="59" s="1"/>
  <c r="G25" i="59" a="1"/>
  <c r="G25" i="59" s="1"/>
  <c r="H25" i="59" a="1"/>
  <c r="H25" i="59" s="1"/>
  <c r="G24" i="59" a="1"/>
  <c r="G24" i="59" s="1"/>
  <c r="H24" i="59" a="1"/>
  <c r="H24" i="59" s="1"/>
  <c r="G23" i="59" a="1"/>
  <c r="G23" i="59" s="1"/>
  <c r="H23" i="59" a="1"/>
  <c r="H23" i="59" s="1"/>
  <c r="G22" i="59" a="1"/>
  <c r="G22" i="59" s="1"/>
  <c r="H22" i="59" a="1"/>
  <c r="H22" i="59" s="1"/>
  <c r="G21" i="59" a="1"/>
  <c r="G21" i="59" s="1"/>
  <c r="H21" i="59" a="1"/>
  <c r="H21" i="59" s="1"/>
  <c r="G20" i="59" a="1"/>
  <c r="G20" i="59" s="1"/>
  <c r="H20" i="59" a="1"/>
  <c r="H20" i="59" s="1"/>
  <c r="G19" i="59" a="1"/>
  <c r="G19" i="59" s="1"/>
  <c r="H19" i="59" a="1"/>
  <c r="H19" i="59" s="1"/>
  <c r="G18" i="59" a="1"/>
  <c r="G18" i="59" s="1"/>
  <c r="H18" i="59" a="1"/>
  <c r="H18" i="59" s="1"/>
  <c r="G17" i="59" a="1"/>
  <c r="G17" i="59" s="1"/>
  <c r="H17" i="59" a="1"/>
  <c r="H17" i="59" s="1"/>
  <c r="G16" i="59" a="1"/>
  <c r="G16" i="59" s="1"/>
  <c r="H16" i="59" a="1"/>
  <c r="H16" i="59" s="1"/>
  <c r="G15" i="59" a="1"/>
  <c r="G15" i="59" s="1"/>
  <c r="H15" i="59" a="1"/>
  <c r="H15" i="59" s="1"/>
  <c r="G14" i="59" a="1"/>
  <c r="G14" i="59" s="1"/>
  <c r="H14" i="59" a="1"/>
  <c r="H14" i="59" s="1"/>
  <c r="G13" i="59" a="1"/>
  <c r="G13" i="59" s="1"/>
  <c r="H13" i="59" a="1"/>
  <c r="H13" i="59" s="1"/>
  <c r="G12" i="59" a="1"/>
  <c r="G12" i="59" s="1"/>
  <c r="H12" i="59" a="1"/>
  <c r="H12" i="59" s="1"/>
  <c r="G11" i="59" a="1"/>
  <c r="G11" i="59" s="1"/>
  <c r="H11" i="59" a="1"/>
  <c r="H11" i="59" s="1"/>
  <c r="G10" i="59" a="1"/>
  <c r="G10" i="59" s="1"/>
  <c r="H10" i="59" a="1"/>
  <c r="H10" i="59" s="1"/>
  <c r="G13" i="54" a="1"/>
  <c r="G13" i="54" s="1"/>
  <c r="H13" i="54" a="1"/>
  <c r="H13" i="54" s="1"/>
  <c r="G12" i="58" a="1"/>
  <c r="G12" i="58" s="1"/>
  <c r="H12" i="58" a="1"/>
  <c r="H12" i="58" s="1"/>
  <c r="G11" i="58" a="1"/>
  <c r="G11" i="58" s="1"/>
  <c r="H11" i="58" a="1"/>
  <c r="H11" i="58" s="1"/>
  <c r="G10" i="58" a="1"/>
  <c r="G10" i="58" s="1"/>
  <c r="H10" i="58" a="1"/>
  <c r="H10" i="58" s="1"/>
  <c r="G12" i="54" a="1"/>
  <c r="G12" i="54" s="1"/>
  <c r="H12" i="54" a="1"/>
  <c r="H12" i="54" s="1"/>
  <c r="G8" i="54" a="1"/>
  <c r="G8" i="54" s="1"/>
  <c r="H8" i="54" a="1"/>
  <c r="H8" i="54" s="1"/>
  <c r="G17" i="51" a="1"/>
  <c r="G17" i="51" s="1"/>
  <c r="H17" i="51" a="1"/>
  <c r="H17" i="51" s="1"/>
  <c r="G16" i="51" a="1"/>
  <c r="G16" i="51" s="1"/>
  <c r="H16" i="51" a="1"/>
  <c r="H16" i="51" s="1"/>
  <c r="G15" i="51" a="1"/>
  <c r="G15" i="51" s="1"/>
  <c r="H15" i="51" a="1"/>
  <c r="H15" i="51" s="1"/>
  <c r="G14" i="51" a="1"/>
  <c r="G14" i="51" s="1"/>
  <c r="H14" i="51" a="1"/>
  <c r="H14" i="51" s="1"/>
  <c r="G13" i="51" a="1"/>
  <c r="G13" i="51" s="1"/>
  <c r="H13" i="51" a="1"/>
  <c r="H13" i="51" s="1"/>
  <c r="G11" i="51" a="1"/>
  <c r="G11" i="51" s="1"/>
  <c r="H11" i="51" a="1"/>
  <c r="H11" i="51" s="1"/>
  <c r="G10" i="51" a="1"/>
  <c r="G10" i="51" s="1"/>
  <c r="H10" i="51" a="1"/>
  <c r="H10" i="51" s="1"/>
  <c r="G9" i="51" a="1"/>
  <c r="G9" i="51" s="1"/>
  <c r="H9" i="51" a="1"/>
  <c r="H9" i="51" s="1"/>
  <c r="G7" i="51" a="1"/>
  <c r="G7" i="51" s="1"/>
  <c r="H7" i="51" a="1"/>
  <c r="H7" i="51" s="1"/>
  <c r="G6" i="51" a="1"/>
  <c r="G6" i="51" s="1"/>
  <c r="H6" i="51" a="1"/>
  <c r="H6" i="51" s="1"/>
  <c r="G5" i="51" a="1"/>
  <c r="G5" i="51" s="1"/>
  <c r="H5" i="51" a="1"/>
  <c r="H5" i="51" s="1"/>
  <c r="G7" i="12" a="1"/>
  <c r="G7" i="12" s="1"/>
  <c r="H7" i="12" a="1"/>
  <c r="H7" i="12" s="1"/>
  <c r="G7" i="11" a="1"/>
  <c r="G7" i="11" s="1"/>
  <c r="H7" i="11" a="1"/>
  <c r="H7" i="11" s="1"/>
  <c r="H6" i="13" a="1"/>
  <c r="H6" i="13" s="1"/>
  <c r="G19" i="49" a="1"/>
  <c r="G19" i="49" s="1"/>
  <c r="H19" i="49" a="1"/>
  <c r="H19" i="49" s="1"/>
  <c r="G18" i="49" a="1"/>
  <c r="G18" i="49" s="1"/>
  <c r="H18" i="49" a="1"/>
  <c r="H18" i="49" s="1"/>
  <c r="G17" i="49" a="1"/>
  <c r="G17" i="49" s="1"/>
  <c r="H17" i="49" a="1"/>
  <c r="H17" i="49" s="1"/>
  <c r="G16" i="49" a="1"/>
  <c r="G16" i="49" s="1"/>
  <c r="H16" i="49" a="1"/>
  <c r="H16" i="49" s="1"/>
  <c r="G15" i="49" a="1"/>
  <c r="G15" i="49" s="1"/>
  <c r="H15" i="49" a="1"/>
  <c r="H15" i="49" s="1"/>
  <c r="G14" i="49" a="1"/>
  <c r="G14" i="49" s="1"/>
  <c r="H14" i="49" a="1"/>
  <c r="H14" i="49" s="1"/>
  <c r="G13" i="49" a="1"/>
  <c r="G13" i="49" s="1"/>
  <c r="H13" i="49" a="1"/>
  <c r="H13" i="49" s="1"/>
  <c r="G12" i="49" a="1"/>
  <c r="G12" i="49" s="1"/>
  <c r="H12" i="49" a="1"/>
  <c r="H12" i="49" s="1"/>
  <c r="G11" i="49" a="1"/>
  <c r="G11" i="49" s="1"/>
  <c r="H11" i="49" a="1"/>
  <c r="H11" i="49" s="1"/>
  <c r="G10" i="49" a="1"/>
  <c r="G10" i="49" s="1"/>
  <c r="H10" i="49" a="1"/>
  <c r="H10" i="49" s="1"/>
  <c r="G9" i="49" a="1"/>
  <c r="G9" i="49" s="1"/>
  <c r="H9" i="49" a="1"/>
  <c r="H9" i="49" s="1"/>
  <c r="G8" i="49" a="1"/>
  <c r="G8" i="49" s="1"/>
  <c r="H8" i="49" a="1"/>
  <c r="H8" i="49" s="1"/>
  <c r="G7" i="49" a="1"/>
  <c r="G7" i="49" s="1"/>
  <c r="H7" i="49" a="1"/>
  <c r="H7" i="49" s="1"/>
  <c r="G6" i="49" a="1"/>
  <c r="G6" i="49" s="1"/>
  <c r="H6" i="49" a="1"/>
  <c r="H6" i="49" s="1"/>
  <c r="G5" i="49" a="1"/>
  <c r="G5" i="49" s="1"/>
  <c r="H5" i="49" a="1"/>
  <c r="H5" i="49" s="1"/>
  <c r="G7" i="38" a="1"/>
  <c r="G7" i="38" s="1"/>
  <c r="H7" i="38" a="1"/>
  <c r="H7" i="38" s="1"/>
  <c r="G5" i="64" a="1"/>
  <c r="G5" i="64" s="1"/>
  <c r="H5" i="64" a="1"/>
  <c r="H5" i="64" s="1"/>
  <c r="G9" i="65" a="1"/>
  <c r="G9" i="65" s="1"/>
  <c r="H9" i="65" a="1"/>
  <c r="H9" i="65" s="1"/>
  <c r="G6" i="71" a="1"/>
  <c r="G6" i="71" s="1"/>
  <c r="H6" i="71" a="1"/>
  <c r="H6" i="71" s="1"/>
  <c r="G5" i="71" a="1"/>
  <c r="G5" i="71" s="1"/>
  <c r="H5" i="71" a="1"/>
  <c r="H5" i="71" s="1"/>
  <c r="G8" i="65" a="1"/>
  <c r="G8" i="65" s="1"/>
  <c r="H8" i="65" a="1"/>
  <c r="H8" i="65" s="1"/>
  <c r="G8" i="47" a="1"/>
  <c r="G8" i="47" s="1"/>
  <c r="H8" i="47" a="1"/>
  <c r="H8" i="47" s="1"/>
  <c r="G8" i="5" a="1"/>
  <c r="G8" i="5" s="1"/>
  <c r="H8" i="5" a="1"/>
  <c r="H8" i="5" s="1"/>
  <c r="G5" i="15" a="1"/>
  <c r="G5" i="15" s="1"/>
  <c r="H5" i="15" a="1"/>
  <c r="H5" i="15" s="1"/>
  <c r="G7" i="5" a="1"/>
  <c r="G7" i="5" s="1"/>
  <c r="H7" i="5" a="1"/>
  <c r="H7" i="5" s="1"/>
  <c r="G5" i="68" a="1"/>
  <c r="G5" i="68" s="1"/>
  <c r="H5" i="68" a="1"/>
  <c r="H5" i="68" s="1"/>
  <c r="G12" i="16" a="1"/>
  <c r="G12" i="16" s="1"/>
  <c r="H12" i="16" a="1"/>
  <c r="H12" i="16" s="1"/>
  <c r="G11" i="16" a="1"/>
  <c r="G11" i="16" s="1"/>
  <c r="H11" i="16" a="1"/>
  <c r="H11" i="16" s="1"/>
  <c r="G10" i="16" a="1"/>
  <c r="G10" i="16" s="1"/>
  <c r="H10" i="16" a="1"/>
  <c r="H10" i="16" s="1"/>
  <c r="G9" i="16" a="1"/>
  <c r="G9" i="16" s="1"/>
  <c r="H9" i="16" a="1"/>
  <c r="H9" i="16" s="1"/>
  <c r="G7" i="28" a="1"/>
  <c r="G7" i="28" s="1"/>
  <c r="H7" i="28" a="1"/>
  <c r="H7" i="28" s="1"/>
  <c r="G6" i="28" a="1"/>
  <c r="G6" i="28" s="1"/>
  <c r="H6" i="28" a="1"/>
  <c r="H6" i="28" s="1"/>
  <c r="G8" i="16" a="1"/>
  <c r="G8" i="16" s="1"/>
  <c r="H8" i="16" a="1"/>
  <c r="H8" i="16" s="1"/>
  <c r="G5" i="28" a="1"/>
  <c r="G5" i="28" s="1"/>
  <c r="H5" i="28" a="1"/>
  <c r="H5" i="28" s="1"/>
  <c r="G8" i="58" a="1"/>
  <c r="G8" i="58" s="1"/>
  <c r="H8" i="58" a="1"/>
  <c r="H8" i="58" s="1"/>
  <c r="G5" i="29" a="1"/>
  <c r="G5" i="29" s="1"/>
  <c r="H5" i="29" a="1"/>
  <c r="H5" i="29" s="1"/>
  <c r="G7" i="58" a="1"/>
  <c r="G7" i="58" s="1"/>
  <c r="H7" i="58" a="1"/>
  <c r="H7" i="58" s="1"/>
  <c r="G7" i="26" a="1"/>
  <c r="G7" i="26" s="1"/>
  <c r="H7" i="26" a="1"/>
  <c r="H7" i="26" s="1"/>
  <c r="G6" i="58" a="1"/>
  <c r="G6" i="58" s="1"/>
  <c r="H6" i="58" a="1"/>
  <c r="H6" i="58" s="1"/>
  <c r="G8" i="48" a="1"/>
  <c r="G8" i="48" s="1"/>
  <c r="H8" i="48" a="1"/>
  <c r="H8" i="48" s="1"/>
  <c r="G7" i="48" a="1"/>
  <c r="G7" i="48" s="1"/>
  <c r="H7" i="48" a="1"/>
  <c r="H7" i="48" s="1"/>
  <c r="G6" i="48" a="1"/>
  <c r="G6" i="48" s="1"/>
  <c r="H6" i="48" a="1"/>
  <c r="H6" i="48" s="1"/>
  <c r="G5" i="48" a="1"/>
  <c r="G5" i="48" s="1"/>
  <c r="H5" i="48" a="1"/>
  <c r="H5" i="48" s="1"/>
  <c r="G6" i="47" a="1"/>
  <c r="G6" i="47" s="1"/>
  <c r="H6" i="47" a="1"/>
  <c r="H6" i="47" s="1"/>
  <c r="G5" i="47" a="1"/>
  <c r="G5" i="47" s="1"/>
  <c r="H5" i="47" a="1"/>
  <c r="H5" i="47" s="1"/>
  <c r="G5" i="38" a="1"/>
  <c r="G5" i="38" s="1"/>
  <c r="H5" i="38" a="1"/>
  <c r="H5" i="38" s="1"/>
  <c r="G6" i="26" a="1"/>
  <c r="G6" i="26" s="1"/>
  <c r="H6" i="26" a="1"/>
  <c r="H6" i="26" s="1"/>
  <c r="G6" i="25" a="1"/>
  <c r="G6" i="25" s="1"/>
  <c r="H6" i="25" a="1"/>
  <c r="H6" i="25" s="1"/>
  <c r="G5" i="24" a="1"/>
  <c r="G5" i="24" s="1"/>
  <c r="H5" i="24" a="1"/>
  <c r="H5" i="24" s="1"/>
  <c r="G5" i="22" a="1"/>
  <c r="G5" i="22" s="1"/>
  <c r="H5" i="22" a="1"/>
  <c r="H5" i="22" s="1"/>
  <c r="G5" i="23" a="1"/>
  <c r="G5" i="23" s="1"/>
  <c r="H5" i="23" a="1"/>
  <c r="H5" i="23" s="1"/>
  <c r="G5" i="21" a="1"/>
  <c r="G5" i="21" s="1"/>
  <c r="H5" i="21" a="1"/>
  <c r="H5" i="21" s="1"/>
  <c r="G5" i="20" a="1"/>
  <c r="G5" i="20" s="1"/>
  <c r="H5" i="20" a="1"/>
  <c r="H5" i="20" s="1"/>
  <c r="G5" i="19" a="1"/>
  <c r="G5" i="19" s="1"/>
  <c r="H5" i="19" a="1"/>
  <c r="H5" i="19" s="1"/>
  <c r="G5" i="25" a="1"/>
  <c r="G5" i="25" s="1"/>
  <c r="H5" i="25" a="1"/>
  <c r="H5" i="25" s="1"/>
  <c r="G5" i="54" a="1"/>
  <c r="G5" i="54" s="1"/>
  <c r="H5" i="54" a="1"/>
  <c r="H5" i="54" s="1"/>
  <c r="G7" i="65" a="1"/>
  <c r="G7" i="65" s="1"/>
  <c r="H7" i="65" a="1"/>
  <c r="H7" i="65" s="1"/>
  <c r="G6" i="65" a="1"/>
  <c r="G6" i="65" s="1"/>
  <c r="H6" i="65" a="1"/>
  <c r="H6" i="65" s="1"/>
  <c r="G5" i="65" a="1"/>
  <c r="G5" i="65" s="1"/>
  <c r="H5" i="65" a="1"/>
  <c r="H5" i="65" s="1"/>
  <c r="G8" i="59" a="1"/>
  <c r="G8" i="59" s="1"/>
  <c r="H8" i="59" a="1"/>
  <c r="H8" i="59" s="1"/>
  <c r="G7" i="59" a="1"/>
  <c r="G7" i="59" s="1"/>
  <c r="H7" i="59" a="1"/>
  <c r="H7" i="59" s="1"/>
  <c r="G5" i="59" a="1"/>
  <c r="G5" i="59" s="1"/>
  <c r="H5" i="59" a="1"/>
  <c r="H5" i="59" s="1"/>
  <c r="G5" i="58" a="1"/>
  <c r="G5" i="58" s="1"/>
  <c r="H5" i="58" a="1"/>
  <c r="H5" i="58" s="1"/>
  <c r="G7" i="16" a="1"/>
  <c r="G7" i="16" s="1"/>
  <c r="H7" i="16" a="1"/>
  <c r="H7" i="16" s="1"/>
  <c r="G6" i="16" a="1"/>
  <c r="G6" i="16" s="1"/>
  <c r="H6" i="16" a="1"/>
  <c r="H6" i="16" s="1"/>
  <c r="G5" i="27" a="1"/>
  <c r="G5" i="27" s="1"/>
  <c r="H5" i="27" a="1"/>
  <c r="H5" i="27" s="1"/>
  <c r="G6" i="5" a="1"/>
  <c r="G6" i="5" s="1"/>
  <c r="H6" i="5" a="1"/>
  <c r="H6" i="5" s="1"/>
  <c r="G5" i="8" a="1"/>
  <c r="G5" i="8" s="1"/>
  <c r="H5" i="13" a="1"/>
  <c r="H5" i="13" s="1"/>
  <c r="G5" i="62" a="1"/>
  <c r="G5" i="62" s="1"/>
  <c r="H5" i="62" a="1"/>
  <c r="H5" i="62" s="1"/>
  <c r="G5" i="57" a="1"/>
  <c r="G5" i="57" s="1"/>
  <c r="H5" i="57" a="1"/>
  <c r="H5" i="57" s="1"/>
  <c r="G5" i="5" a="1"/>
  <c r="G5" i="5" s="1"/>
  <c r="H5" i="5" a="1"/>
  <c r="H5" i="5" s="1"/>
  <c r="G20" i="27" l="1" a="1"/>
  <c r="G20" i="27" s="1"/>
  <c r="G9" i="20" a="1"/>
  <c r="G9" i="20" s="1"/>
  <c r="G10" i="21" a="1"/>
  <c r="G10" i="21" s="1"/>
  <c r="H20" i="41" a="1"/>
  <c r="H20" i="41" s="1"/>
  <c r="H11" i="20" a="1"/>
  <c r="H11" i="20" s="1"/>
  <c r="H12" i="21" a="1"/>
  <c r="H12" i="21" s="1"/>
  <c r="G18" i="24" a="1"/>
  <c r="G18" i="24" s="1"/>
  <c r="G15" i="19" a="1"/>
  <c r="G15" i="19" s="1"/>
  <c r="G13" i="21" a="1"/>
  <c r="G13" i="21" s="1"/>
  <c r="G19" i="18" a="1"/>
  <c r="G19" i="18" s="1"/>
  <c r="G18" i="25" a="1"/>
  <c r="G18" i="25" s="1"/>
  <c r="G14" i="17" a="1"/>
  <c r="G14" i="17" s="1"/>
  <c r="G20" i="23" a="1"/>
  <c r="G20" i="23" s="1"/>
  <c r="G8" i="69" a="1"/>
  <c r="G8" i="69" s="1"/>
  <c r="G8" i="64" a="1"/>
  <c r="G8" i="64" s="1"/>
  <c r="G38" i="47" a="1"/>
  <c r="G38" i="47" s="1"/>
  <c r="G29" i="28" a="1"/>
  <c r="G29" i="28" s="1"/>
  <c r="G23" i="23" a="1"/>
  <c r="G23" i="23" s="1"/>
  <c r="G14" i="20" a="1"/>
  <c r="G14" i="20" s="1"/>
  <c r="G21" i="25" a="1"/>
  <c r="G21" i="25" s="1"/>
  <c r="G23" i="18" a="1"/>
  <c r="G23" i="18" s="1"/>
  <c r="G19" i="19" a="1"/>
  <c r="G19" i="19" s="1"/>
  <c r="G21" i="24" a="1"/>
  <c r="G21" i="24" s="1"/>
  <c r="H17" i="11" a="1"/>
  <c r="H17" i="11" s="1"/>
  <c r="H15" i="13" a="1"/>
  <c r="H15" i="13" s="1"/>
  <c r="H15" i="9" a="1"/>
  <c r="H15" i="9" s="1"/>
  <c r="G14" i="65" a="1"/>
  <c r="G14" i="65" s="1"/>
  <c r="G27" i="54" a="1"/>
  <c r="G27" i="54" s="1"/>
  <c r="H15" i="65" a="1"/>
  <c r="H15" i="65" s="1"/>
  <c r="H29" i="54" a="1"/>
  <c r="H29" i="54" s="1"/>
  <c r="G6" i="63" a="1"/>
  <c r="G6" i="63" s="1"/>
  <c r="G8" i="62" a="1"/>
  <c r="G8" i="62" s="1"/>
  <c r="G12" i="48" a="1"/>
  <c r="G12" i="48" s="1"/>
  <c r="H10" i="67" a="1"/>
  <c r="H10" i="67" s="1"/>
  <c r="H24" i="64" a="1"/>
  <c r="H24" i="64" s="1"/>
  <c r="G11" i="67" a="1"/>
  <c r="G11" i="67" s="1"/>
  <c r="G32" i="49" a="1"/>
  <c r="G32" i="49" s="1"/>
  <c r="G18" i="38" a="1"/>
  <c r="G18" i="38" s="1"/>
  <c r="G43" i="59" a="1"/>
  <c r="G43" i="59" s="1"/>
  <c r="G24" i="58" a="1"/>
  <c r="G24" i="58" s="1"/>
  <c r="G35" i="51" a="1"/>
  <c r="G35" i="51" s="1"/>
  <c r="G24" i="23" a="1"/>
  <c r="G24" i="23" s="1"/>
  <c r="G24" i="18" a="1"/>
  <c r="G24" i="18" s="1"/>
  <c r="H36" i="28" a="1"/>
  <c r="H36" i="28" s="1"/>
  <c r="H29" i="27" a="1"/>
  <c r="H29" i="27" s="1"/>
  <c r="G19" i="69" a="1"/>
  <c r="G19" i="69" s="1"/>
  <c r="G44" i="59" a="1"/>
  <c r="G44" i="59" s="1"/>
  <c r="G23" i="44" a="1"/>
  <c r="G23" i="44" s="1"/>
  <c r="G26" i="41" a="1"/>
  <c r="G26" i="41" s="1"/>
  <c r="G26" i="58" a="1"/>
  <c r="G26" i="58" s="1"/>
  <c r="G42" i="54" a="1"/>
  <c r="G42" i="54" s="1"/>
  <c r="G47" i="47" a="1"/>
  <c r="G47" i="47" s="1"/>
  <c r="G24" i="44" a="1"/>
  <c r="G24" i="44" s="1"/>
  <c r="G32" i="27" a="1"/>
  <c r="G32" i="27" s="1"/>
  <c r="G37" i="28" a="1"/>
  <c r="G37" i="28" s="1"/>
  <c r="G26" i="18" a="1"/>
  <c r="G26" i="18" s="1"/>
  <c r="H10" i="71" a="1"/>
  <c r="H10" i="71" s="1"/>
  <c r="H10" i="68" a="1"/>
  <c r="H10" i="68" s="1"/>
  <c r="H24" i="65" a="1"/>
  <c r="H24" i="65" s="1"/>
  <c r="H26" i="64" a="1"/>
  <c r="H26" i="64" s="1"/>
  <c r="H8" i="63" a="1"/>
  <c r="H8" i="63" s="1"/>
  <c r="H21" i="69" a="1"/>
  <c r="H21" i="69" s="1"/>
  <c r="H13" i="67" a="1"/>
  <c r="H13" i="67" s="1"/>
  <c r="H27" i="58" a="1"/>
  <c r="H27" i="58" s="1"/>
  <c r="H8" i="56" a="1"/>
  <c r="H8" i="56" s="1"/>
  <c r="H47" i="59" a="1"/>
  <c r="H47" i="59" s="1"/>
  <c r="H6" i="57" a="1"/>
  <c r="H6" i="57" s="1"/>
  <c r="H44" i="54" a="1"/>
  <c r="H44" i="54" s="1"/>
  <c r="H41" i="51" a="1"/>
  <c r="H41" i="51" s="1"/>
  <c r="H35" i="49" a="1"/>
  <c r="H35" i="49" s="1"/>
  <c r="H14" i="48" a="1"/>
  <c r="H14" i="48" s="1"/>
  <c r="H26" i="35" a="1"/>
  <c r="H26" i="35" s="1"/>
  <c r="H26" i="44" a="1"/>
  <c r="H26" i="44" s="1"/>
  <c r="H19" i="38" a="1"/>
  <c r="H19" i="38" s="1"/>
  <c r="H6" i="42" a="1"/>
  <c r="H6" i="42" s="1"/>
  <c r="H28" i="41" a="1"/>
  <c r="H28" i="41" s="1"/>
  <c r="H44" i="32" a="1"/>
  <c r="H44" i="32" s="1"/>
  <c r="H39" i="28" a="1"/>
  <c r="H39" i="28" s="1"/>
  <c r="H33" i="27" a="1"/>
  <c r="H33" i="27" s="1"/>
  <c r="H27" i="23" a="1"/>
  <c r="H27" i="23" s="1"/>
  <c r="H18" i="12" a="1"/>
  <c r="H18" i="12" s="1"/>
  <c r="H20" i="11" a="1"/>
  <c r="H20" i="11" s="1"/>
  <c r="H17" i="7" a="1"/>
  <c r="H17" i="7" s="1"/>
  <c r="G37" i="27" a="1"/>
  <c r="G37" i="27" s="1"/>
  <c r="G31" i="18" a="1"/>
  <c r="G31" i="18" s="1"/>
  <c r="G13" i="22" a="1"/>
  <c r="G13" i="22" s="1"/>
  <c r="G31" i="23" a="1"/>
  <c r="G31" i="23" s="1"/>
  <c r="G23" i="26" a="1"/>
  <c r="G23" i="26" s="1"/>
  <c r="H30" i="58" a="1"/>
  <c r="H30" i="58" s="1"/>
  <c r="H47" i="51" a="1"/>
  <c r="H47" i="51" s="1"/>
  <c r="H51" i="47" a="1"/>
  <c r="H51" i="47" s="1"/>
  <c r="H42" i="28" a="1"/>
  <c r="H42" i="28" s="1"/>
  <c r="H38" i="27" a="1"/>
  <c r="H38" i="27" s="1"/>
  <c r="H31" i="16" a="1"/>
  <c r="H31" i="16" s="1"/>
  <c r="G56" i="59" a="1"/>
  <c r="G56" i="59" s="1"/>
  <c r="G14" i="22" a="1"/>
  <c r="G14" i="22" s="1"/>
  <c r="G24" i="26" a="1"/>
  <c r="G24" i="26" s="1"/>
  <c r="H22" i="66" a="1"/>
  <c r="H22" i="66" s="1"/>
  <c r="H25" i="65" a="1"/>
  <c r="H25" i="65" s="1"/>
  <c r="H57" i="59" a="1"/>
  <c r="H57" i="59" s="1"/>
  <c r="H48" i="51" a="1"/>
  <c r="H48" i="51" s="1"/>
  <c r="H33" i="44" a="1"/>
  <c r="H33" i="44" s="1"/>
  <c r="H46" i="28" a="1"/>
  <c r="H46" i="28" s="1"/>
  <c r="G34" i="58" a="1"/>
  <c r="G34" i="58" s="1"/>
  <c r="G52" i="51" a="1"/>
  <c r="G52" i="51" s="1"/>
  <c r="G54" i="47" a="1"/>
  <c r="G54" i="47" s="1"/>
  <c r="G37" i="44" a="1"/>
  <c r="G37" i="44" s="1"/>
  <c r="G23" i="38" a="1"/>
  <c r="G23" i="38" s="1"/>
  <c r="G32" i="35" a="1"/>
  <c r="G32" i="35" s="1"/>
  <c r="G49" i="32" a="1"/>
  <c r="G49" i="32" s="1"/>
  <c r="G48" i="28" a="1"/>
  <c r="G48" i="28" s="1"/>
  <c r="H61" i="59" a="1"/>
  <c r="H61" i="59" s="1"/>
  <c r="H24" i="38" a="1"/>
  <c r="H24" i="38" s="1"/>
  <c r="H34" i="35" a="1"/>
  <c r="H34" i="35" s="1"/>
  <c r="H49" i="28" a="1"/>
  <c r="H49" i="28" s="1"/>
  <c r="G18" i="68" a="1"/>
  <c r="G18" i="68" s="1"/>
  <c r="G28" i="64" a="1"/>
  <c r="G28" i="64" s="1"/>
  <c r="G62" i="59" a="1"/>
  <c r="G62" i="59" s="1"/>
  <c r="G35" i="58" a="1"/>
  <c r="G35" i="58" s="1"/>
  <c r="G35" i="35" a="1"/>
  <c r="G35" i="35" s="1"/>
  <c r="G28" i="25" a="1"/>
  <c r="G28" i="25" s="1"/>
  <c r="G26" i="19" a="1"/>
  <c r="G26" i="19" s="1"/>
  <c r="G28" i="24" a="1"/>
  <c r="G28" i="24" s="1"/>
  <c r="H43" i="69" a="1"/>
  <c r="H43" i="69" s="1"/>
  <c r="H31" i="64" a="1"/>
  <c r="H31" i="64" s="1"/>
  <c r="G26" i="68" a="1"/>
  <c r="G26" i="68" s="1"/>
  <c r="G39" i="44" a="1"/>
  <c r="G39" i="44" s="1"/>
  <c r="H27" i="68" a="1"/>
  <c r="H27" i="68" s="1"/>
  <c r="H19" i="71" a="1"/>
  <c r="H19" i="71" s="1"/>
  <c r="G23" i="71" a="1"/>
  <c r="G23" i="71" s="1"/>
  <c r="G40" i="58" a="1"/>
  <c r="G40" i="58" s="1"/>
  <c r="G52" i="32" a="1"/>
  <c r="G52" i="32" s="1"/>
  <c r="G41" i="44" a="1"/>
  <c r="G41" i="44" s="1"/>
  <c r="G57" i="28" a="1"/>
  <c r="G57" i="28" s="1"/>
  <c r="H26" i="71" a="1"/>
  <c r="H26" i="71" s="1"/>
  <c r="H20" i="7" a="1"/>
  <c r="H20" i="7" s="1"/>
  <c r="H57" i="47" a="1"/>
  <c r="H57" i="47" s="1"/>
  <c r="H58" i="28" a="1"/>
  <c r="H58" i="28" s="1"/>
  <c r="H38" i="35" a="1"/>
  <c r="H38" i="35" s="1"/>
  <c r="H32" i="25" a="1"/>
  <c r="H32" i="25" s="1"/>
  <c r="H33" i="24" a="1"/>
  <c r="H33" i="24" s="1"/>
  <c r="H21" i="21" a="1"/>
  <c r="H21" i="21" s="1"/>
  <c r="H19" i="20" a="1"/>
  <c r="H19" i="20" s="1"/>
  <c r="H37" i="23" a="1"/>
  <c r="H37" i="23" s="1"/>
  <c r="H27" i="26" a="1"/>
  <c r="H27" i="26" s="1"/>
  <c r="H39" i="18" a="1"/>
  <c r="H39" i="18" s="1"/>
  <c r="H24" i="17" a="1"/>
  <c r="H24" i="17" s="1"/>
  <c r="G60" i="54" a="1"/>
  <c r="G60" i="54" s="1"/>
  <c r="G58" i="47" a="1"/>
  <c r="G58" i="47" s="1"/>
  <c r="G60" i="28" a="1"/>
  <c r="G60" i="28" s="1"/>
  <c r="G11" i="56" a="1"/>
  <c r="G11" i="56" s="1"/>
  <c r="G62" i="54" a="1"/>
  <c r="G62" i="54" s="1"/>
  <c r="G56" i="51" a="1"/>
  <c r="G56" i="51" s="1"/>
  <c r="G49" i="49" a="1"/>
  <c r="G49" i="49" s="1"/>
  <c r="H50" i="69" a="1"/>
  <c r="H50" i="69" s="1"/>
  <c r="H30" i="65" a="1"/>
  <c r="H30" i="65" s="1"/>
  <c r="H8" i="57" a="1"/>
  <c r="H8" i="57" s="1"/>
  <c r="H22" i="13" a="1"/>
  <c r="H22" i="13" s="1"/>
  <c r="H22" i="9" a="1"/>
  <c r="H22" i="9" s="1"/>
  <c r="H24" i="7" a="1"/>
  <c r="H24" i="7" s="1"/>
  <c r="H12" i="14" a="1"/>
  <c r="H12" i="14" s="1"/>
  <c r="H23" i="8" a="1"/>
  <c r="H23" i="8" s="1"/>
  <c r="G54" i="69" a="1"/>
  <c r="G54" i="69" s="1"/>
  <c r="G79" i="59" a="1"/>
  <c r="G79" i="59" s="1"/>
  <c r="G60" i="51" a="1"/>
  <c r="G60" i="51" s="1"/>
  <c r="G37" i="41" a="1"/>
  <c r="G37" i="41" s="1"/>
  <c r="G8" i="42" a="1"/>
  <c r="G8" i="42" s="1"/>
  <c r="G42" i="23" a="1"/>
  <c r="G42" i="23" s="1"/>
  <c r="G64" i="47" a="1"/>
  <c r="G64" i="47" s="1"/>
  <c r="G25" i="46" a="1"/>
  <c r="G25" i="46" s="1"/>
  <c r="G41" i="35" a="1"/>
  <c r="G41" i="35" s="1"/>
  <c r="G40" i="41" a="1"/>
  <c r="G40" i="41" s="1"/>
  <c r="G44" i="44" a="1"/>
  <c r="G44" i="44" s="1"/>
  <c r="G47" i="27" a="1"/>
  <c r="G47" i="27" s="1"/>
  <c r="G32" i="19" a="1"/>
  <c r="G32" i="19" s="1"/>
  <c r="G45" i="18" a="1"/>
  <c r="G45" i="18" s="1"/>
  <c r="H83" i="59" a="1"/>
  <c r="H83" i="59" s="1"/>
  <c r="H62" i="51" a="1"/>
  <c r="H62" i="51" s="1"/>
  <c r="H66" i="47" a="1"/>
  <c r="H66" i="47" s="1"/>
  <c r="G64" i="32" a="1"/>
  <c r="G64" i="32" s="1"/>
  <c r="G48" i="27" a="1"/>
  <c r="G48" i="27" s="1"/>
  <c r="H67" i="54" a="1"/>
  <c r="H67" i="54" s="1"/>
  <c r="H56" i="49" a="1"/>
  <c r="H56" i="49" s="1"/>
  <c r="G57" i="69" a="1"/>
  <c r="G57" i="69" s="1"/>
  <c r="G42" i="68" a="1"/>
  <c r="G42" i="68" s="1"/>
  <c r="G84" i="59" a="1"/>
  <c r="G84" i="59" s="1"/>
  <c r="G47" i="58" a="1"/>
  <c r="G47" i="58" s="1"/>
  <c r="G58" i="49" a="1"/>
  <c r="G58" i="49" s="1"/>
  <c r="G45" i="44" a="1"/>
  <c r="G45" i="44" s="1"/>
  <c r="H16" i="6" a="1"/>
  <c r="H16" i="6" s="1"/>
  <c r="G18" i="7" a="1"/>
  <c r="G18" i="7" s="1"/>
  <c r="H17" i="9" a="1"/>
  <c r="H17" i="9" s="1"/>
  <c r="G14" i="9" a="1"/>
  <c r="G14" i="9" s="1"/>
  <c r="G21" i="11" a="1"/>
  <c r="G21" i="11" s="1"/>
  <c r="H15" i="11" a="1"/>
  <c r="H15" i="11" s="1"/>
  <c r="G12" i="11" a="1"/>
  <c r="G12" i="11" s="1"/>
  <c r="G18" i="13" a="1"/>
  <c r="G18" i="13" s="1"/>
  <c r="H8" i="13" a="1"/>
  <c r="H8" i="13" s="1"/>
  <c r="H39" i="16" a="1"/>
  <c r="H39" i="16" s="1"/>
  <c r="G5" i="16" a="1"/>
  <c r="G5" i="16" s="1"/>
  <c r="H17" i="17" a="1"/>
  <c r="H17" i="17" s="1"/>
  <c r="G13" i="17" a="1"/>
  <c r="G13" i="17" s="1"/>
  <c r="G18" i="19" a="1"/>
  <c r="G18" i="19" s="1"/>
  <c r="H15" i="19" a="1"/>
  <c r="H15" i="19" s="1"/>
  <c r="H11" i="21" a="1"/>
  <c r="H11" i="21" s="1"/>
  <c r="H11" i="24" a="1"/>
  <c r="H11" i="24" s="1"/>
  <c r="G17" i="25" a="1"/>
  <c r="G17" i="25" s="1"/>
  <c r="G5" i="9" a="1"/>
  <c r="G5" i="9" s="1"/>
  <c r="G5" i="13" a="1"/>
  <c r="G5" i="13" s="1"/>
  <c r="G5" i="14" a="1"/>
  <c r="G5" i="14" s="1"/>
  <c r="G5" i="11" a="1"/>
  <c r="G5" i="11" s="1"/>
  <c r="G10" i="54" a="1"/>
  <c r="G10" i="54" s="1"/>
  <c r="G20" i="51" a="1"/>
  <c r="G20" i="51" s="1"/>
  <c r="G9" i="59" a="1"/>
  <c r="G9" i="59" s="1"/>
  <c r="G5" i="35" a="1"/>
  <c r="G5" i="35" s="1"/>
  <c r="G8" i="28" a="1"/>
  <c r="G8" i="28" s="1"/>
  <c r="H6" i="27" a="1"/>
  <c r="H6" i="27" s="1"/>
  <c r="H13" i="16" a="1"/>
  <c r="H13" i="16" s="1"/>
  <c r="H6" i="8" a="1"/>
  <c r="H6" i="8" s="1"/>
  <c r="H6" i="12" a="1"/>
  <c r="H6" i="12" s="1"/>
  <c r="H9" i="25" a="1"/>
  <c r="H9" i="25" s="1"/>
  <c r="H10" i="24" a="1"/>
  <c r="H10" i="24" s="1"/>
  <c r="G13" i="25" a="1"/>
  <c r="G13" i="25" s="1"/>
  <c r="G14" i="24" a="1"/>
  <c r="G14" i="24" s="1"/>
  <c r="G13" i="58" a="1"/>
  <c r="G13" i="58" s="1"/>
  <c r="G14" i="47" a="1"/>
  <c r="G14" i="47" s="1"/>
  <c r="G8" i="46" a="1"/>
  <c r="G8" i="46" s="1"/>
  <c r="H10" i="12" a="1"/>
  <c r="H10" i="12" s="1"/>
  <c r="H10" i="11" a="1"/>
  <c r="H10" i="11" s="1"/>
  <c r="H35" i="59" a="1"/>
  <c r="H35" i="59" s="1"/>
  <c r="H30" i="51" a="1"/>
  <c r="H30" i="51" s="1"/>
  <c r="H21" i="35" a="1"/>
  <c r="H21" i="35" s="1"/>
  <c r="H16" i="25" a="1"/>
  <c r="H16" i="25" s="1"/>
  <c r="H13" i="19" a="1"/>
  <c r="H13" i="19" s="1"/>
  <c r="H14" i="26" a="1"/>
  <c r="H14" i="26" s="1"/>
  <c r="G20" i="41" a="1"/>
  <c r="G20" i="41" s="1"/>
  <c r="G12" i="21" a="1"/>
  <c r="G12" i="21" s="1"/>
  <c r="H16" i="19" a="1"/>
  <c r="H16" i="19" s="1"/>
  <c r="H19" i="25" a="1"/>
  <c r="H19" i="25" s="1"/>
  <c r="H44" i="47" a="1"/>
  <c r="H44" i="47" s="1"/>
  <c r="H26" i="27" a="1"/>
  <c r="H26" i="27" s="1"/>
  <c r="H33" i="28" a="1"/>
  <c r="H33" i="28" s="1"/>
  <c r="H20" i="24" a="1"/>
  <c r="H20" i="24" s="1"/>
  <c r="H17" i="19" a="1"/>
  <c r="H17" i="19" s="1"/>
  <c r="H15" i="17" a="1"/>
  <c r="H15" i="17" s="1"/>
  <c r="H20" i="25" a="1"/>
  <c r="H20" i="25" s="1"/>
  <c r="H21" i="18" a="1"/>
  <c r="H21" i="18" s="1"/>
  <c r="H21" i="23" a="1"/>
  <c r="H21" i="23" s="1"/>
  <c r="H24" i="16" a="1"/>
  <c r="H24" i="16" s="1"/>
  <c r="H21" i="44" a="1"/>
  <c r="H21" i="44" s="1"/>
  <c r="H35" i="28" a="1"/>
  <c r="H35" i="28" s="1"/>
  <c r="G17" i="11" a="1"/>
  <c r="G17" i="11" s="1"/>
  <c r="G15" i="8" a="1"/>
  <c r="G15" i="8" s="1"/>
  <c r="G15" i="65" a="1"/>
  <c r="G15" i="65" s="1"/>
  <c r="G29" i="54" a="1"/>
  <c r="G29" i="54" s="1"/>
  <c r="H16" i="65" a="1"/>
  <c r="H16" i="65" s="1"/>
  <c r="H30" i="54" a="1"/>
  <c r="H30" i="54" s="1"/>
  <c r="G10" i="67" a="1"/>
  <c r="G10" i="67" s="1"/>
  <c r="G24" i="64" a="1"/>
  <c r="G24" i="64" s="1"/>
  <c r="G36" i="28" a="1"/>
  <c r="G36" i="28" s="1"/>
  <c r="G29" i="27" a="1"/>
  <c r="G29" i="27" s="1"/>
  <c r="G27" i="16" a="1"/>
  <c r="G27" i="16" s="1"/>
  <c r="H7" i="45" a="1"/>
  <c r="H7" i="45" s="1"/>
  <c r="H22" i="44" a="1"/>
  <c r="H22" i="44" s="1"/>
  <c r="H13" i="48" a="1"/>
  <c r="H13" i="48" s="1"/>
  <c r="H26" i="23" a="1"/>
  <c r="H26" i="23" s="1"/>
  <c r="G10" i="68" a="1"/>
  <c r="G10" i="68" s="1"/>
  <c r="G10" i="71" a="1"/>
  <c r="G10" i="71" s="1"/>
  <c r="G21" i="69" a="1"/>
  <c r="G21" i="69" s="1"/>
  <c r="G24" i="65" a="1"/>
  <c r="G24" i="65" s="1"/>
  <c r="G26" i="64" a="1"/>
  <c r="G26" i="64" s="1"/>
  <c r="G13" i="67" a="1"/>
  <c r="G13" i="67" s="1"/>
  <c r="G8" i="63" a="1"/>
  <c r="G8" i="63" s="1"/>
  <c r="G27" i="58" a="1"/>
  <c r="G27" i="58" s="1"/>
  <c r="G8" i="56" a="1"/>
  <c r="G8" i="56" s="1"/>
  <c r="G47" i="59" a="1"/>
  <c r="G47" i="59" s="1"/>
  <c r="G6" i="57" a="1"/>
  <c r="G6" i="57" s="1"/>
  <c r="G44" i="54" a="1"/>
  <c r="G44" i="54" s="1"/>
  <c r="G35" i="49" a="1"/>
  <c r="G35" i="49" s="1"/>
  <c r="G14" i="48" a="1"/>
  <c r="G14" i="48" s="1"/>
  <c r="G41" i="51" a="1"/>
  <c r="G41" i="51" s="1"/>
  <c r="G26" i="35" a="1"/>
  <c r="G26" i="35" s="1"/>
  <c r="G26" i="44" a="1"/>
  <c r="G26" i="44" s="1"/>
  <c r="G19" i="38" a="1"/>
  <c r="G19" i="38" s="1"/>
  <c r="G6" i="42" a="1"/>
  <c r="G6" i="42" s="1"/>
  <c r="G28" i="41" a="1"/>
  <c r="G28" i="41" s="1"/>
  <c r="G44" i="32" a="1"/>
  <c r="G44" i="32" s="1"/>
  <c r="G39" i="28" a="1"/>
  <c r="G39" i="28" s="1"/>
  <c r="G33" i="27" a="1"/>
  <c r="G33" i="27" s="1"/>
  <c r="G27" i="18" a="1"/>
  <c r="G27" i="18" s="1"/>
  <c r="G18" i="12" a="1"/>
  <c r="G18" i="12" s="1"/>
  <c r="H28" i="35" a="1"/>
  <c r="H28" i="35" s="1"/>
  <c r="H25" i="25" a="1"/>
  <c r="H25" i="25" s="1"/>
  <c r="H22" i="19" a="1"/>
  <c r="H22" i="19" s="1"/>
  <c r="H16" i="20" a="1"/>
  <c r="H16" i="20" s="1"/>
  <c r="H25" i="24" a="1"/>
  <c r="H25" i="24" s="1"/>
  <c r="H17" i="21" a="1"/>
  <c r="H17" i="21" s="1"/>
  <c r="H54" i="59" a="1"/>
  <c r="H54" i="59" s="1"/>
  <c r="H49" i="47" a="1"/>
  <c r="H49" i="47" s="1"/>
  <c r="G30" i="58" a="1"/>
  <c r="G30" i="58" s="1"/>
  <c r="G47" i="51" a="1"/>
  <c r="G47" i="51" s="1"/>
  <c r="G51" i="47" a="1"/>
  <c r="G51" i="47" s="1"/>
  <c r="G42" i="28" a="1"/>
  <c r="G42" i="28" s="1"/>
  <c r="G38" i="27" a="1"/>
  <c r="G38" i="27" s="1"/>
  <c r="G32" i="18" a="1"/>
  <c r="G32" i="18" s="1"/>
  <c r="G31" i="16" a="1"/>
  <c r="G31" i="16" s="1"/>
  <c r="G22" i="66" a="1"/>
  <c r="G22" i="66" s="1"/>
  <c r="G25" i="65" a="1"/>
  <c r="G25" i="65" s="1"/>
  <c r="G57" i="59" a="1"/>
  <c r="G57" i="59" s="1"/>
  <c r="G48" i="51" a="1"/>
  <c r="G48" i="51" s="1"/>
  <c r="G33" i="44" a="1"/>
  <c r="G33" i="44" s="1"/>
  <c r="G46" i="28" a="1"/>
  <c r="G46" i="28" s="1"/>
  <c r="H40" i="69" a="1"/>
  <c r="H40" i="69" s="1"/>
  <c r="H41" i="49" a="1"/>
  <c r="H41" i="49" s="1"/>
  <c r="H31" i="41" a="1"/>
  <c r="H31" i="41" s="1"/>
  <c r="H35" i="44" a="1"/>
  <c r="H35" i="44" s="1"/>
  <c r="H22" i="38" a="1"/>
  <c r="H22" i="38" s="1"/>
  <c r="G61" i="59" a="1"/>
  <c r="G61" i="59" s="1"/>
  <c r="G34" i="35" a="1"/>
  <c r="G34" i="35" s="1"/>
  <c r="G24" i="38" a="1"/>
  <c r="G24" i="38" s="1"/>
  <c r="G49" i="28" a="1"/>
  <c r="G49" i="28" s="1"/>
  <c r="G43" i="69" a="1"/>
  <c r="G43" i="69" s="1"/>
  <c r="G31" i="64" a="1"/>
  <c r="G31" i="64" s="1"/>
  <c r="H17" i="71" a="1"/>
  <c r="H17" i="71" s="1"/>
  <c r="H33" i="64" a="1"/>
  <c r="H33" i="64" s="1"/>
  <c r="H64" i="59" a="1"/>
  <c r="H64" i="59" s="1"/>
  <c r="H42" i="49" a="1"/>
  <c r="H42" i="49" s="1"/>
  <c r="H7" i="37" a="1"/>
  <c r="H7" i="37" s="1"/>
  <c r="H14" i="29" a="1"/>
  <c r="H14" i="29" s="1"/>
  <c r="H44" i="69" a="1"/>
  <c r="H44" i="69" s="1"/>
  <c r="H20" i="68" a="1"/>
  <c r="H20" i="68" s="1"/>
  <c r="H35" i="64" a="1"/>
  <c r="H35" i="64" s="1"/>
  <c r="H65" i="59" a="1"/>
  <c r="H65" i="59" s="1"/>
  <c r="H44" i="49" a="1"/>
  <c r="H44" i="49" s="1"/>
  <c r="H29" i="24" a="1"/>
  <c r="H29" i="24" s="1"/>
  <c r="H35" i="23" a="1"/>
  <c r="H35" i="23" s="1"/>
  <c r="H37" i="18" a="1"/>
  <c r="H37" i="18" s="1"/>
  <c r="H36" i="58" a="1"/>
  <c r="H36" i="58" s="1"/>
  <c r="H66" i="59" a="1"/>
  <c r="H66" i="59" s="1"/>
  <c r="G19" i="71" a="1"/>
  <c r="G19" i="71" s="1"/>
  <c r="G27" i="68" a="1"/>
  <c r="G27" i="68" s="1"/>
  <c r="H30" i="68" a="1"/>
  <c r="H30" i="68" s="1"/>
  <c r="H69" i="59" a="1"/>
  <c r="H69" i="59" s="1"/>
  <c r="G26" i="71" a="1"/>
  <c r="G26" i="71" s="1"/>
  <c r="G10" i="10" a="1"/>
  <c r="G10" i="10" s="1"/>
  <c r="G10" i="14" a="1"/>
  <c r="G10" i="14" s="1"/>
  <c r="H36" i="41" a="1"/>
  <c r="H36" i="41" s="1"/>
  <c r="H30" i="25" a="1"/>
  <c r="H30" i="25" s="1"/>
  <c r="H36" i="23" a="1"/>
  <c r="H36" i="23" s="1"/>
  <c r="H26" i="26" a="1"/>
  <c r="H26" i="26" s="1"/>
  <c r="H31" i="24" a="1"/>
  <c r="H31" i="24" s="1"/>
  <c r="H38" i="18" a="1"/>
  <c r="H38" i="18" s="1"/>
  <c r="H23" i="17" a="1"/>
  <c r="H23" i="17" s="1"/>
  <c r="H42" i="27" a="1"/>
  <c r="H42" i="27" s="1"/>
  <c r="H25" i="11" a="1"/>
  <c r="H25" i="11" s="1"/>
  <c r="H21" i="9" a="1"/>
  <c r="H21" i="9" s="1"/>
  <c r="H20" i="21" a="1"/>
  <c r="H20" i="21" s="1"/>
  <c r="H28" i="19" a="1"/>
  <c r="H28" i="19" s="1"/>
  <c r="H21" i="13" a="1"/>
  <c r="H21" i="13" s="1"/>
  <c r="G57" i="47" a="1"/>
  <c r="G57" i="47" s="1"/>
  <c r="G58" i="28" a="1"/>
  <c r="G58" i="28" s="1"/>
  <c r="G38" i="35" a="1"/>
  <c r="G38" i="35" s="1"/>
  <c r="G29" i="19" a="1"/>
  <c r="G29" i="19" s="1"/>
  <c r="G39" i="18" a="1"/>
  <c r="G39" i="18" s="1"/>
  <c r="G24" i="17" a="1"/>
  <c r="G24" i="17" s="1"/>
  <c r="G32" i="25" a="1"/>
  <c r="G32" i="25" s="1"/>
  <c r="G33" i="24" a="1"/>
  <c r="G33" i="24" s="1"/>
  <c r="G21" i="21" a="1"/>
  <c r="G21" i="21" s="1"/>
  <c r="G27" i="26" a="1"/>
  <c r="G27" i="26" s="1"/>
  <c r="H61" i="47" a="1"/>
  <c r="H61" i="47" s="1"/>
  <c r="H33" i="25" a="1"/>
  <c r="H33" i="25" s="1"/>
  <c r="H34" i="24" a="1"/>
  <c r="H34" i="24" s="1"/>
  <c r="G50" i="69" a="1"/>
  <c r="G50" i="69" s="1"/>
  <c r="G30" i="65" a="1"/>
  <c r="G30" i="65" s="1"/>
  <c r="G8" i="57" a="1"/>
  <c r="G8" i="57" s="1"/>
  <c r="G22" i="13" a="1"/>
  <c r="G22" i="13" s="1"/>
  <c r="G12" i="14" a="1"/>
  <c r="G12" i="14" s="1"/>
  <c r="G12" i="10" a="1"/>
  <c r="G12" i="10" s="1"/>
  <c r="H52" i="69" a="1"/>
  <c r="H52" i="69" s="1"/>
  <c r="H10" i="63" a="1"/>
  <c r="H10" i="63" s="1"/>
  <c r="H45" i="64" a="1"/>
  <c r="H45" i="64" s="1"/>
  <c r="H78" i="59" a="1"/>
  <c r="H78" i="59" s="1"/>
  <c r="H44" i="58" a="1"/>
  <c r="H44" i="58" s="1"/>
  <c r="H17" i="48" a="1"/>
  <c r="H17" i="48" s="1"/>
  <c r="H58" i="51" a="1"/>
  <c r="H58" i="51" s="1"/>
  <c r="H36" i="38" a="1"/>
  <c r="H36" i="38" s="1"/>
  <c r="H59" i="32" a="1"/>
  <c r="H59" i="32" s="1"/>
  <c r="H43" i="18" a="1"/>
  <c r="H43" i="18" s="1"/>
  <c r="H13" i="62" a="1"/>
  <c r="H13" i="62" s="1"/>
  <c r="H61" i="51" a="1"/>
  <c r="H61" i="51" s="1"/>
  <c r="H40" i="35" a="1"/>
  <c r="H40" i="35" s="1"/>
  <c r="H38" i="38" a="1"/>
  <c r="H38" i="38" s="1"/>
  <c r="G83" i="59" a="1"/>
  <c r="G83" i="59" s="1"/>
  <c r="G62" i="51" a="1"/>
  <c r="G62" i="51" s="1"/>
  <c r="G66" i="47" a="1"/>
  <c r="G66" i="47" s="1"/>
  <c r="G67" i="54" a="1"/>
  <c r="G67" i="54" s="1"/>
  <c r="G56" i="49" a="1"/>
  <c r="G56" i="49" s="1"/>
  <c r="H22" i="67" a="1"/>
  <c r="H22" i="67" s="1"/>
  <c r="H68" i="54" a="1"/>
  <c r="H68" i="54" s="1"/>
  <c r="H44" i="68" a="1"/>
  <c r="H44" i="68" s="1"/>
  <c r="H19" i="29" a="1"/>
  <c r="H19" i="29" s="1"/>
  <c r="H66" i="28" a="1"/>
  <c r="H66" i="28" s="1"/>
  <c r="H12" i="5" a="1"/>
  <c r="H12" i="5" s="1"/>
  <c r="G17" i="6" a="1"/>
  <c r="G17" i="6" s="1"/>
  <c r="G17" i="8" a="1"/>
  <c r="G17" i="8" s="1"/>
  <c r="G13" i="8" a="1"/>
  <c r="G13" i="8" s="1"/>
  <c r="G11" i="8" a="1"/>
  <c r="G11" i="8" s="1"/>
  <c r="G9" i="8" a="1"/>
  <c r="G9" i="8" s="1"/>
  <c r="G21" i="9" a="1"/>
  <c r="G21" i="9" s="1"/>
  <c r="H14" i="9" a="1"/>
  <c r="H14" i="9" s="1"/>
  <c r="G9" i="9" a="1"/>
  <c r="G9" i="9" s="1"/>
  <c r="H11" i="10" a="1"/>
  <c r="H11" i="10" s="1"/>
  <c r="G7" i="10" a="1"/>
  <c r="G7" i="10" s="1"/>
  <c r="G5" i="10" a="1"/>
  <c r="G5" i="10" s="1"/>
  <c r="G23" i="11" a="1"/>
  <c r="G23" i="11" s="1"/>
  <c r="G19" i="11" a="1"/>
  <c r="G19" i="11" s="1"/>
  <c r="H12" i="11" a="1"/>
  <c r="H12" i="11" s="1"/>
  <c r="H26" i="12" a="1"/>
  <c r="H26" i="12" s="1"/>
  <c r="G23" i="12" a="1"/>
  <c r="G23" i="12" s="1"/>
  <c r="H19" i="12" a="1"/>
  <c r="H19" i="12" s="1"/>
  <c r="G5" i="12" a="1"/>
  <c r="G5" i="12" s="1"/>
  <c r="G15" i="13" a="1"/>
  <c r="G15" i="13" s="1"/>
  <c r="G9" i="14" a="1"/>
  <c r="G9" i="14" s="1"/>
  <c r="H41" i="16" a="1"/>
  <c r="H41" i="16" s="1"/>
  <c r="H27" i="16" a="1"/>
  <c r="H27" i="16" s="1"/>
  <c r="G21" i="16" a="1"/>
  <c r="G21" i="16" s="1"/>
  <c r="H27" i="18" a="1"/>
  <c r="H27" i="18" s="1"/>
  <c r="G8" i="18" a="1"/>
  <c r="G8" i="18" s="1"/>
  <c r="H22" i="20" a="1"/>
  <c r="H22" i="20" s="1"/>
  <c r="G15" i="21" a="1"/>
  <c r="G15" i="21" s="1"/>
  <c r="H13" i="22" a="1"/>
  <c r="H13" i="22" s="1"/>
  <c r="G7" i="47" a="1"/>
  <c r="G7" i="47" s="1"/>
  <c r="G5" i="46" a="1"/>
  <c r="G5" i="46" s="1"/>
  <c r="G7" i="23" a="1"/>
  <c r="G7" i="23" s="1"/>
  <c r="G6" i="18" a="1"/>
  <c r="G6" i="18" s="1"/>
  <c r="G6" i="27" a="1"/>
  <c r="G6" i="27" s="1"/>
  <c r="G13" i="16" a="1"/>
  <c r="G13" i="16" s="1"/>
  <c r="G6" i="11" a="1"/>
  <c r="G6" i="11" s="1"/>
  <c r="G6" i="7" a="1"/>
  <c r="G6" i="7" s="1"/>
  <c r="H11" i="54" a="1"/>
  <c r="H11" i="54" s="1"/>
  <c r="H5" i="32" a="1"/>
  <c r="H5" i="32" s="1"/>
  <c r="G9" i="25" a="1"/>
  <c r="G9" i="25" s="1"/>
  <c r="G10" i="24" a="1"/>
  <c r="G10" i="24" s="1"/>
  <c r="H13" i="24" a="1"/>
  <c r="H13" i="24" s="1"/>
  <c r="H12" i="25" a="1"/>
  <c r="H12" i="25" s="1"/>
  <c r="H14" i="54" a="1"/>
  <c r="H14" i="54" s="1"/>
  <c r="G35" i="59" a="1"/>
  <c r="G35" i="59" s="1"/>
  <c r="G30" i="51" a="1"/>
  <c r="G30" i="51" s="1"/>
  <c r="G21" i="35" a="1"/>
  <c r="G21" i="35" s="1"/>
  <c r="H18" i="58" a="1"/>
  <c r="H18" i="58" s="1"/>
  <c r="G14" i="26" a="1"/>
  <c r="G14" i="26" s="1"/>
  <c r="G16" i="25" a="1"/>
  <c r="G16" i="25" s="1"/>
  <c r="G13" i="19" a="1"/>
  <c r="G13" i="19" s="1"/>
  <c r="G16" i="24" a="1"/>
  <c r="G16" i="24" s="1"/>
  <c r="H23" i="27" a="1"/>
  <c r="H23" i="27" s="1"/>
  <c r="H9" i="22" a="1"/>
  <c r="H9" i="22" s="1"/>
  <c r="H16" i="26" a="1"/>
  <c r="H16" i="26" s="1"/>
  <c r="G19" i="25" a="1"/>
  <c r="G19" i="25" s="1"/>
  <c r="G16" i="19" a="1"/>
  <c r="G16" i="19" s="1"/>
  <c r="G44" i="47" a="1"/>
  <c r="G44" i="47" s="1"/>
  <c r="G33" i="28" a="1"/>
  <c r="G33" i="28" s="1"/>
  <c r="G26" i="27" a="1"/>
  <c r="G26" i="27" s="1"/>
  <c r="G20" i="24" a="1"/>
  <c r="G20" i="24" s="1"/>
  <c r="G20" i="25" a="1"/>
  <c r="G20" i="25" s="1"/>
  <c r="G24" i="16" a="1"/>
  <c r="G24" i="16" s="1"/>
  <c r="G21" i="23" a="1"/>
  <c r="G21" i="23" s="1"/>
  <c r="H39" i="59" a="1"/>
  <c r="H39" i="59" s="1"/>
  <c r="H27" i="27" a="1"/>
  <c r="H27" i="27" s="1"/>
  <c r="H17" i="26" a="1"/>
  <c r="H17" i="26" s="1"/>
  <c r="G21" i="44" a="1"/>
  <c r="G21" i="44" s="1"/>
  <c r="G35" i="28" a="1"/>
  <c r="G35" i="28" s="1"/>
  <c r="H19" i="26" a="1"/>
  <c r="H19" i="26" s="1"/>
  <c r="H10" i="22" a="1"/>
  <c r="H10" i="22" s="1"/>
  <c r="H28" i="27" a="1"/>
  <c r="H28" i="27" s="1"/>
  <c r="H9" i="66" a="1"/>
  <c r="H9" i="66" s="1"/>
  <c r="H28" i="54" a="1"/>
  <c r="H28" i="54" s="1"/>
  <c r="G16" i="65" a="1"/>
  <c r="G16" i="65" s="1"/>
  <c r="G30" i="54" a="1"/>
  <c r="G30" i="54" s="1"/>
  <c r="G7" i="45" a="1"/>
  <c r="G7" i="45" s="1"/>
  <c r="G22" i="44" a="1"/>
  <c r="G22" i="44" s="1"/>
  <c r="H30" i="27" a="1"/>
  <c r="H30" i="27" s="1"/>
  <c r="H22" i="24" a="1"/>
  <c r="H22" i="24" s="1"/>
  <c r="H11" i="22" a="1"/>
  <c r="H11" i="22" s="1"/>
  <c r="H20" i="19" a="1"/>
  <c r="H20" i="19" s="1"/>
  <c r="H25" i="18" a="1"/>
  <c r="H25" i="18" s="1"/>
  <c r="H22" i="25" a="1"/>
  <c r="H22" i="25" s="1"/>
  <c r="H16" i="21" a="1"/>
  <c r="H16" i="21" s="1"/>
  <c r="H25" i="23" a="1"/>
  <c r="H25" i="23" s="1"/>
  <c r="H18" i="17" a="1"/>
  <c r="H18" i="17" s="1"/>
  <c r="G13" i="48" a="1"/>
  <c r="G13" i="48" s="1"/>
  <c r="G26" i="23" a="1"/>
  <c r="G26" i="23" s="1"/>
  <c r="H19" i="17" a="1"/>
  <c r="H19" i="17" s="1"/>
  <c r="H38" i="28" a="1"/>
  <c r="H38" i="28" s="1"/>
  <c r="H29" i="16" a="1"/>
  <c r="H29" i="16" s="1"/>
  <c r="G28" i="35" a="1"/>
  <c r="G28" i="35" s="1"/>
  <c r="G25" i="24" a="1"/>
  <c r="G25" i="24" s="1"/>
  <c r="G16" i="20" a="1"/>
  <c r="G16" i="20" s="1"/>
  <c r="G25" i="25" a="1"/>
  <c r="G25" i="25" s="1"/>
  <c r="G17" i="21" a="1"/>
  <c r="G17" i="21" s="1"/>
  <c r="G22" i="19" a="1"/>
  <c r="G22" i="19" s="1"/>
  <c r="G54" i="59" a="1"/>
  <c r="G54" i="59" s="1"/>
  <c r="G49" i="47" a="1"/>
  <c r="G49" i="47" s="1"/>
  <c r="H49" i="54" a="1"/>
  <c r="H49" i="54" s="1"/>
  <c r="H46" i="51" a="1"/>
  <c r="H46" i="51" s="1"/>
  <c r="H37" i="49" a="1"/>
  <c r="H37" i="49" s="1"/>
  <c r="G45" i="28" a="1"/>
  <c r="G45" i="28" s="1"/>
  <c r="G34" i="16" a="1"/>
  <c r="G34" i="16" s="1"/>
  <c r="G40" i="69" a="1"/>
  <c r="G40" i="69" s="1"/>
  <c r="G41" i="49" a="1"/>
  <c r="G41" i="49" s="1"/>
  <c r="G22" i="38" a="1"/>
  <c r="G22" i="38" s="1"/>
  <c r="G31" i="41" a="1"/>
  <c r="G31" i="41" s="1"/>
  <c r="G35" i="44" a="1"/>
  <c r="G35" i="44" s="1"/>
  <c r="H24" i="46" a="1"/>
  <c r="H24" i="46" s="1"/>
  <c r="H33" i="35" a="1"/>
  <c r="H33" i="35" s="1"/>
  <c r="H55" i="47" a="1"/>
  <c r="H55" i="47" s="1"/>
  <c r="H50" i="32" a="1"/>
  <c r="H50" i="32" s="1"/>
  <c r="H29" i="64" a="1"/>
  <c r="H29" i="64" s="1"/>
  <c r="H63" i="59" a="1"/>
  <c r="H63" i="59" s="1"/>
  <c r="G17" i="71" a="1"/>
  <c r="G17" i="71" s="1"/>
  <c r="G33" i="64" a="1"/>
  <c r="G33" i="64" s="1"/>
  <c r="G64" i="59" a="1"/>
  <c r="G64" i="59" s="1"/>
  <c r="G42" i="49" a="1"/>
  <c r="G42" i="49" s="1"/>
  <c r="G7" i="37" a="1"/>
  <c r="G7" i="37" s="1"/>
  <c r="G14" i="29" a="1"/>
  <c r="G14" i="29" s="1"/>
  <c r="G35" i="64" a="1"/>
  <c r="G35" i="64" s="1"/>
  <c r="G20" i="68" a="1"/>
  <c r="G20" i="68" s="1"/>
  <c r="G44" i="69" a="1"/>
  <c r="G44" i="69" s="1"/>
  <c r="G65" i="59" a="1"/>
  <c r="G65" i="59" s="1"/>
  <c r="G44" i="49" a="1"/>
  <c r="G44" i="49" s="1"/>
  <c r="G29" i="24" a="1"/>
  <c r="G29" i="24" s="1"/>
  <c r="G35" i="23" a="1"/>
  <c r="G35" i="23" s="1"/>
  <c r="G37" i="18" a="1"/>
  <c r="G37" i="18" s="1"/>
  <c r="G66" i="59" a="1"/>
  <c r="G66" i="59" s="1"/>
  <c r="G36" i="58" a="1"/>
  <c r="G36" i="58" s="1"/>
  <c r="G30" i="68" a="1"/>
  <c r="G30" i="68" s="1"/>
  <c r="G69" i="59" a="1"/>
  <c r="G69" i="59" s="1"/>
  <c r="H21" i="71" a="1"/>
  <c r="H21" i="71" s="1"/>
  <c r="H33" i="68" a="1"/>
  <c r="H33" i="68" s="1"/>
  <c r="H70" i="59" a="1"/>
  <c r="H70" i="59" s="1"/>
  <c r="H46" i="69" a="1"/>
  <c r="H46" i="69" s="1"/>
  <c r="H29" i="25" a="1"/>
  <c r="H29" i="25" s="1"/>
  <c r="H30" i="24" a="1"/>
  <c r="H30" i="24" s="1"/>
  <c r="H27" i="19" a="1"/>
  <c r="H27" i="19" s="1"/>
  <c r="H24" i="71" a="1"/>
  <c r="H24" i="71" s="1"/>
  <c r="H74" i="59" a="1"/>
  <c r="H74" i="59" s="1"/>
  <c r="G36" i="41" a="1"/>
  <c r="G36" i="41" s="1"/>
  <c r="G42" i="27" a="1"/>
  <c r="G42" i="27" s="1"/>
  <c r="G20" i="21" a="1"/>
  <c r="G20" i="21" s="1"/>
  <c r="G26" i="26" a="1"/>
  <c r="G26" i="26" s="1"/>
  <c r="G30" i="25" a="1"/>
  <c r="G30" i="25" s="1"/>
  <c r="G31" i="24" a="1"/>
  <c r="G31" i="24" s="1"/>
  <c r="G28" i="19" a="1"/>
  <c r="G28" i="19" s="1"/>
  <c r="G25" i="12" a="1"/>
  <c r="G25" i="12" s="1"/>
  <c r="G22" i="8" a="1"/>
  <c r="G22" i="8" s="1"/>
  <c r="G36" i="23" a="1"/>
  <c r="G36" i="23" s="1"/>
  <c r="H61" i="54" a="1"/>
  <c r="H61" i="54" s="1"/>
  <c r="H44" i="27" a="1"/>
  <c r="H44" i="27" s="1"/>
  <c r="H38" i="16" a="1"/>
  <c r="H38" i="16" s="1"/>
  <c r="G61" i="47" a="1"/>
  <c r="G61" i="47" s="1"/>
  <c r="G34" i="24" a="1"/>
  <c r="G34" i="24" s="1"/>
  <c r="G33" i="25" a="1"/>
  <c r="G33" i="25" s="1"/>
  <c r="H42" i="18" a="1"/>
  <c r="H42" i="18" s="1"/>
  <c r="H34" i="25" a="1"/>
  <c r="H34" i="25" s="1"/>
  <c r="H35" i="24" a="1"/>
  <c r="H35" i="24" s="1"/>
  <c r="H30" i="19" a="1"/>
  <c r="H30" i="19" s="1"/>
  <c r="H39" i="23" a="1"/>
  <c r="H39" i="23" s="1"/>
  <c r="H40" i="16" a="1"/>
  <c r="H40" i="16" s="1"/>
  <c r="H63" i="54" a="1"/>
  <c r="H63" i="54" s="1"/>
  <c r="H50" i="49" a="1"/>
  <c r="H50" i="49" s="1"/>
  <c r="H18" i="29" a="1"/>
  <c r="H18" i="29" s="1"/>
  <c r="G52" i="69" a="1"/>
  <c r="G52" i="69" s="1"/>
  <c r="G10" i="63" a="1"/>
  <c r="G10" i="63" s="1"/>
  <c r="G45" i="64" a="1"/>
  <c r="G45" i="64" s="1"/>
  <c r="G78" i="59" a="1"/>
  <c r="G78" i="59" s="1"/>
  <c r="G44" i="58" a="1"/>
  <c r="G44" i="58" s="1"/>
  <c r="G58" i="51" a="1"/>
  <c r="G58" i="51" s="1"/>
  <c r="G17" i="48" a="1"/>
  <c r="G17" i="48" s="1"/>
  <c r="G36" i="38" a="1"/>
  <c r="G36" i="38" s="1"/>
  <c r="G59" i="32" a="1"/>
  <c r="G59" i="32" s="1"/>
  <c r="G41" i="23" a="1"/>
  <c r="G41" i="23" s="1"/>
  <c r="G43" i="18" a="1"/>
  <c r="G43" i="18" s="1"/>
  <c r="H80" i="59" a="1"/>
  <c r="H80" i="59" s="1"/>
  <c r="H54" i="49" a="1"/>
  <c r="H54" i="49" s="1"/>
  <c r="H38" i="41" a="1"/>
  <c r="H38" i="41" s="1"/>
  <c r="H37" i="38" a="1"/>
  <c r="H37" i="38" s="1"/>
  <c r="G13" i="62" a="1"/>
  <c r="G13" i="62" s="1"/>
  <c r="G61" i="51" a="1"/>
  <c r="G61" i="51" s="1"/>
  <c r="G38" i="38" a="1"/>
  <c r="G38" i="38" s="1"/>
  <c r="G40" i="35" a="1"/>
  <c r="G40" i="35" s="1"/>
  <c r="H26" i="46" a="1"/>
  <c r="H26" i="46" s="1"/>
  <c r="H65" i="47" a="1"/>
  <c r="H65" i="47" s="1"/>
  <c r="H42" i="35" a="1"/>
  <c r="H42" i="35" s="1"/>
  <c r="H62" i="32" a="1"/>
  <c r="H62" i="32" s="1"/>
  <c r="H20" i="20" a="1"/>
  <c r="H20" i="20" s="1"/>
  <c r="G22" i="67" a="1"/>
  <c r="G22" i="67" s="1"/>
  <c r="G68" i="54" a="1"/>
  <c r="G68" i="54" s="1"/>
  <c r="H28" i="71" a="1"/>
  <c r="H28" i="71" s="1"/>
  <c r="H58" i="69" a="1"/>
  <c r="H58" i="69" s="1"/>
  <c r="H85" i="59" a="1"/>
  <c r="H85" i="59" s="1"/>
  <c r="G44" i="68" a="1"/>
  <c r="G44" i="68" s="1"/>
  <c r="G19" i="29" a="1"/>
  <c r="G19" i="29" s="1"/>
  <c r="G66" i="28" a="1"/>
  <c r="G66" i="28" s="1"/>
  <c r="H18" i="7" a="1"/>
  <c r="H18" i="7" s="1"/>
  <c r="G16" i="7" a="1"/>
  <c r="G16" i="7" s="1"/>
  <c r="G23" i="8" a="1"/>
  <c r="G23" i="8" s="1"/>
  <c r="H15" i="8" a="1"/>
  <c r="H15" i="8" s="1"/>
  <c r="H5" i="8" a="1"/>
  <c r="H5" i="8" s="1"/>
  <c r="H5" i="9" a="1"/>
  <c r="H5" i="9" s="1"/>
  <c r="H23" i="11" a="1"/>
  <c r="H23" i="11" s="1"/>
  <c r="H9" i="11" a="1"/>
  <c r="H9" i="11" s="1"/>
  <c r="H17" i="12" a="1"/>
  <c r="H17" i="12" s="1"/>
  <c r="G20" i="13" a="1"/>
  <c r="G20" i="13" s="1"/>
  <c r="G12" i="13" a="1"/>
  <c r="G12" i="13" s="1"/>
  <c r="G11" i="14" a="1"/>
  <c r="G11" i="14" s="1"/>
  <c r="H5" i="16" a="1"/>
  <c r="H5" i="16" s="1"/>
  <c r="G36" i="18" a="1"/>
  <c r="G36" i="18" s="1"/>
  <c r="G44" i="23" a="1"/>
  <c r="G44" i="23" s="1"/>
  <c r="H20" i="26" a="1"/>
  <c r="H20" i="26" s="1"/>
  <c r="G12" i="51" a="1"/>
  <c r="G12" i="51" s="1"/>
  <c r="G6" i="54" a="1"/>
  <c r="G6" i="54" s="1"/>
  <c r="G11" i="25" a="1"/>
  <c r="G11" i="25" s="1"/>
  <c r="G12" i="24" a="1"/>
  <c r="G12" i="24" s="1"/>
  <c r="H13" i="25" a="1"/>
  <c r="H13" i="25" s="1"/>
  <c r="H14" i="24" a="1"/>
  <c r="H14" i="24" s="1"/>
  <c r="H6" i="64" a="1"/>
  <c r="H6" i="64" s="1"/>
  <c r="H6" i="38" a="1"/>
  <c r="H6" i="38" s="1"/>
  <c r="H9" i="58" a="1"/>
  <c r="H9" i="58" s="1"/>
  <c r="H8" i="51" a="1"/>
  <c r="H8" i="51" s="1"/>
  <c r="G11" i="54" a="1"/>
  <c r="G11" i="54" s="1"/>
  <c r="G5" i="32" a="1"/>
  <c r="G5" i="32" s="1"/>
  <c r="G12" i="25" a="1"/>
  <c r="G12" i="25" s="1"/>
  <c r="G13" i="24" a="1"/>
  <c r="G13" i="24" s="1"/>
  <c r="G14" i="54" a="1"/>
  <c r="G14" i="54" s="1"/>
  <c r="H17" i="58" a="1"/>
  <c r="H17" i="58" s="1"/>
  <c r="G18" i="58" a="1"/>
  <c r="G18" i="58" s="1"/>
  <c r="H14" i="19" a="1"/>
  <c r="H14" i="19" s="1"/>
  <c r="H18" i="18" a="1"/>
  <c r="H18" i="18" s="1"/>
  <c r="H17" i="24" a="1"/>
  <c r="H17" i="24" s="1"/>
  <c r="H19" i="23" a="1"/>
  <c r="H19" i="23" s="1"/>
  <c r="H17" i="25" a="1"/>
  <c r="H17" i="25" s="1"/>
  <c r="G23" i="27" a="1"/>
  <c r="G23" i="27" s="1"/>
  <c r="G16" i="26" a="1"/>
  <c r="G16" i="26" s="1"/>
  <c r="G9" i="22" a="1"/>
  <c r="G9" i="22" s="1"/>
  <c r="G39" i="59" a="1"/>
  <c r="G39" i="59" s="1"/>
  <c r="G27" i="27" a="1"/>
  <c r="G27" i="27" s="1"/>
  <c r="G17" i="26" a="1"/>
  <c r="G17" i="26" s="1"/>
  <c r="H11" i="69" a="1"/>
  <c r="H11" i="69" s="1"/>
  <c r="H22" i="58" a="1"/>
  <c r="H22" i="58" s="1"/>
  <c r="H33" i="51" a="1"/>
  <c r="H33" i="51" s="1"/>
  <c r="H31" i="49" a="1"/>
  <c r="H31" i="49" s="1"/>
  <c r="H20" i="44" a="1"/>
  <c r="H20" i="44" s="1"/>
  <c r="H34" i="28" a="1"/>
  <c r="H34" i="28" s="1"/>
  <c r="H37" i="32" a="1"/>
  <c r="H37" i="32" s="1"/>
  <c r="G28" i="27" a="1"/>
  <c r="G28" i="27" s="1"/>
  <c r="G19" i="26" a="1"/>
  <c r="G19" i="26" s="1"/>
  <c r="G9" i="66" a="1"/>
  <c r="G9" i="66" s="1"/>
  <c r="G28" i="54" a="1"/>
  <c r="G28" i="54" s="1"/>
  <c r="H22" i="65" a="1"/>
  <c r="H22" i="65" s="1"/>
  <c r="H25" i="64" a="1"/>
  <c r="H25" i="64" s="1"/>
  <c r="H17" i="38" a="1"/>
  <c r="H17" i="38" s="1"/>
  <c r="H42" i="59" a="1"/>
  <c r="H42" i="59" s="1"/>
  <c r="H23" i="58" a="1"/>
  <c r="H23" i="58" s="1"/>
  <c r="G30" i="27" a="1"/>
  <c r="G30" i="27" s="1"/>
  <c r="G20" i="26" a="1"/>
  <c r="G20" i="26" s="1"/>
  <c r="G25" i="23" a="1"/>
  <c r="G25" i="23" s="1"/>
  <c r="G22" i="24" a="1"/>
  <c r="G22" i="24" s="1"/>
  <c r="G15" i="20" a="1"/>
  <c r="G15" i="20" s="1"/>
  <c r="G22" i="25" a="1"/>
  <c r="G22" i="25" s="1"/>
  <c r="G11" i="22" a="1"/>
  <c r="G11" i="22" s="1"/>
  <c r="G16" i="21" a="1"/>
  <c r="G16" i="21" s="1"/>
  <c r="G18" i="17" a="1"/>
  <c r="G18" i="17" s="1"/>
  <c r="H37" i="51" a="1"/>
  <c r="H37" i="51" s="1"/>
  <c r="H31" i="27" a="1"/>
  <c r="H31" i="27" s="1"/>
  <c r="G38" i="28" a="1"/>
  <c r="G38" i="28" s="1"/>
  <c r="G29" i="16" a="1"/>
  <c r="G29" i="16" s="1"/>
  <c r="H11" i="68" a="1"/>
  <c r="H11" i="68" s="1"/>
  <c r="H22" i="69" a="1"/>
  <c r="H22" i="69" s="1"/>
  <c r="H10" i="62" a="1"/>
  <c r="H10" i="62" s="1"/>
  <c r="H48" i="59" a="1"/>
  <c r="H48" i="59" s="1"/>
  <c r="H28" i="58" a="1"/>
  <c r="H28" i="58" s="1"/>
  <c r="H42" i="51" a="1"/>
  <c r="H42" i="51" s="1"/>
  <c r="H45" i="54" a="1"/>
  <c r="H45" i="54" s="1"/>
  <c r="H48" i="47" a="1"/>
  <c r="H48" i="47" s="1"/>
  <c r="H27" i="44" a="1"/>
  <c r="H27" i="44" s="1"/>
  <c r="H20" i="38" a="1"/>
  <c r="H20" i="38" s="1"/>
  <c r="H29" i="41" a="1"/>
  <c r="H29" i="41" s="1"/>
  <c r="H21" i="46" a="1"/>
  <c r="H21" i="46" s="1"/>
  <c r="H27" i="35" a="1"/>
  <c r="H27" i="35" s="1"/>
  <c r="H45" i="32" a="1"/>
  <c r="H45" i="32" s="1"/>
  <c r="H40" i="28" a="1"/>
  <c r="H40" i="28" s="1"/>
  <c r="H34" i="27" a="1"/>
  <c r="H34" i="27" s="1"/>
  <c r="H23" i="25" a="1"/>
  <c r="H23" i="25" s="1"/>
  <c r="H21" i="26" a="1"/>
  <c r="H21" i="26" s="1"/>
  <c r="H28" i="23" a="1"/>
  <c r="H28" i="23" s="1"/>
  <c r="H23" i="24" a="1"/>
  <c r="H23" i="24" s="1"/>
  <c r="H21" i="19" a="1"/>
  <c r="H21" i="19" s="1"/>
  <c r="H28" i="18" a="1"/>
  <c r="H28" i="18" s="1"/>
  <c r="H11" i="71" a="1"/>
  <c r="H11" i="71" s="1"/>
  <c r="H50" i="59" a="1"/>
  <c r="H50" i="59" s="1"/>
  <c r="G46" i="51" a="1"/>
  <c r="G46" i="51" s="1"/>
  <c r="G49" i="54" a="1"/>
  <c r="G49" i="54" s="1"/>
  <c r="G37" i="49" a="1"/>
  <c r="G37" i="49" s="1"/>
  <c r="H50" i="54" a="1"/>
  <c r="H50" i="54" s="1"/>
  <c r="H52" i="47" a="1"/>
  <c r="H52" i="47" s="1"/>
  <c r="H31" i="44" a="1"/>
  <c r="H31" i="44" s="1"/>
  <c r="H43" i="28" a="1"/>
  <c r="H43" i="28" s="1"/>
  <c r="H14" i="71" a="1"/>
  <c r="H14" i="71" s="1"/>
  <c r="H13" i="68" a="1"/>
  <c r="H13" i="68" s="1"/>
  <c r="H38" i="69" a="1"/>
  <c r="H38" i="69" s="1"/>
  <c r="H27" i="64" a="1"/>
  <c r="H27" i="64" s="1"/>
  <c r="H26" i="65" a="1"/>
  <c r="H26" i="65" s="1"/>
  <c r="H7" i="57" a="1"/>
  <c r="H7" i="57" s="1"/>
  <c r="H32" i="58" a="1"/>
  <c r="H32" i="58" s="1"/>
  <c r="H10" i="56" a="1"/>
  <c r="H10" i="56" s="1"/>
  <c r="H52" i="54" a="1"/>
  <c r="H52" i="54" s="1"/>
  <c r="H39" i="49" a="1"/>
  <c r="H39" i="49" s="1"/>
  <c r="H49" i="51" a="1"/>
  <c r="H49" i="51" s="1"/>
  <c r="H15" i="48" a="1"/>
  <c r="H15" i="48" s="1"/>
  <c r="H34" i="44" a="1"/>
  <c r="H34" i="44" s="1"/>
  <c r="H30" i="35" a="1"/>
  <c r="H30" i="35" s="1"/>
  <c r="H30" i="41" a="1"/>
  <c r="H30" i="41" s="1"/>
  <c r="H46" i="32" a="1"/>
  <c r="H46" i="32" s="1"/>
  <c r="H34" i="18" a="1"/>
  <c r="H34" i="18" s="1"/>
  <c r="H33" i="23" a="1"/>
  <c r="H33" i="23" s="1"/>
  <c r="H19" i="13" a="1"/>
  <c r="H19" i="13" s="1"/>
  <c r="H19" i="9" a="1"/>
  <c r="H19" i="9" s="1"/>
  <c r="H9" i="14" a="1"/>
  <c r="H9" i="14" s="1"/>
  <c r="H22" i="11" a="1"/>
  <c r="H22" i="11" s="1"/>
  <c r="G55" i="47" a="1"/>
  <c r="G55" i="47" s="1"/>
  <c r="G33" i="35" a="1"/>
  <c r="G33" i="35" s="1"/>
  <c r="G24" i="46" a="1"/>
  <c r="G24" i="46" s="1"/>
  <c r="G50" i="32" a="1"/>
  <c r="G50" i="32" s="1"/>
  <c r="G29" i="64" a="1"/>
  <c r="G29" i="64" s="1"/>
  <c r="G63" i="59" a="1"/>
  <c r="G63" i="59" s="1"/>
  <c r="H19" i="68" a="1"/>
  <c r="H19" i="68" s="1"/>
  <c r="H32" i="64" a="1"/>
  <c r="H32" i="64" s="1"/>
  <c r="H28" i="68" a="1"/>
  <c r="H28" i="68" s="1"/>
  <c r="H68" i="59" a="1"/>
  <c r="H68" i="59" s="1"/>
  <c r="H34" i="38" a="1"/>
  <c r="H34" i="38" s="1"/>
  <c r="H51" i="28" a="1"/>
  <c r="H51" i="28" s="1"/>
  <c r="G21" i="71" a="1"/>
  <c r="G21" i="71" s="1"/>
  <c r="G33" i="68" a="1"/>
  <c r="G33" i="68" s="1"/>
  <c r="G70" i="59" a="1"/>
  <c r="G70" i="59" s="1"/>
  <c r="G46" i="69" a="1"/>
  <c r="G46" i="69" s="1"/>
  <c r="G29" i="25" a="1"/>
  <c r="G29" i="25" s="1"/>
  <c r="G27" i="19" a="1"/>
  <c r="G27" i="19" s="1"/>
  <c r="G30" i="24" a="1"/>
  <c r="G30" i="24" s="1"/>
  <c r="H38" i="58" a="1"/>
  <c r="H38" i="58" s="1"/>
  <c r="H33" i="41" a="1"/>
  <c r="H33" i="41" s="1"/>
  <c r="H47" i="49" a="1"/>
  <c r="H47" i="49" s="1"/>
  <c r="H54" i="28" a="1"/>
  <c r="H54" i="28" s="1"/>
  <c r="G24" i="71" a="1"/>
  <c r="G24" i="71" s="1"/>
  <c r="G74" i="59" a="1"/>
  <c r="G74" i="59" s="1"/>
  <c r="H29" i="65" a="1"/>
  <c r="H29" i="65" s="1"/>
  <c r="H47" i="69" a="1"/>
  <c r="H47" i="69" s="1"/>
  <c r="H57" i="54" a="1"/>
  <c r="H57" i="54" s="1"/>
  <c r="H56" i="28" a="1"/>
  <c r="H56" i="28" s="1"/>
  <c r="H44" i="64" a="1"/>
  <c r="H44" i="64" s="1"/>
  <c r="H59" i="54" a="1"/>
  <c r="H59" i="54" s="1"/>
  <c r="H54" i="51" a="1"/>
  <c r="H54" i="51" s="1"/>
  <c r="H48" i="49" a="1"/>
  <c r="H48" i="49" s="1"/>
  <c r="H34" i="41" a="1"/>
  <c r="H34" i="41" s="1"/>
  <c r="H54" i="32" a="1"/>
  <c r="H54" i="32" s="1"/>
  <c r="G61" i="54" a="1"/>
  <c r="G61" i="54" s="1"/>
  <c r="G44" i="27" a="1"/>
  <c r="G44" i="27" s="1"/>
  <c r="G38" i="16" a="1"/>
  <c r="G38" i="16" s="1"/>
  <c r="G39" i="23" a="1"/>
  <c r="G39" i="23" s="1"/>
  <c r="G34" i="25" a="1"/>
  <c r="G34" i="25" s="1"/>
  <c r="G35" i="24" a="1"/>
  <c r="G35" i="24" s="1"/>
  <c r="G30" i="19" a="1"/>
  <c r="G30" i="19" s="1"/>
  <c r="G40" i="16" a="1"/>
  <c r="G40" i="16" s="1"/>
  <c r="G50" i="49" a="1"/>
  <c r="G50" i="49" s="1"/>
  <c r="G63" i="54" a="1"/>
  <c r="G63" i="54" s="1"/>
  <c r="G18" i="29" a="1"/>
  <c r="G18" i="29" s="1"/>
  <c r="H51" i="69" a="1"/>
  <c r="H51" i="69" s="1"/>
  <c r="H21" i="67" a="1"/>
  <c r="H21" i="67" s="1"/>
  <c r="H42" i="58" a="1"/>
  <c r="H42" i="58" s="1"/>
  <c r="H57" i="51" a="1"/>
  <c r="H57" i="51" s="1"/>
  <c r="H39" i="35" a="1"/>
  <c r="H39" i="35" s="1"/>
  <c r="H57" i="32" a="1"/>
  <c r="H57" i="32" s="1"/>
  <c r="G80" i="59" a="1"/>
  <c r="G80" i="59" s="1"/>
  <c r="G54" i="49" a="1"/>
  <c r="G54" i="49" s="1"/>
  <c r="G38" i="41" a="1"/>
  <c r="G38" i="41" s="1"/>
  <c r="G37" i="38" a="1"/>
  <c r="G37" i="38" s="1"/>
  <c r="G65" i="47" a="1"/>
  <c r="G65" i="47" s="1"/>
  <c r="G26" i="46" a="1"/>
  <c r="G26" i="46" s="1"/>
  <c r="G42" i="35" a="1"/>
  <c r="G42" i="35" s="1"/>
  <c r="G62" i="32" a="1"/>
  <c r="G62" i="32" s="1"/>
  <c r="G20" i="20" a="1"/>
  <c r="G20" i="20" s="1"/>
  <c r="H63" i="51" a="1"/>
  <c r="H63" i="51" s="1"/>
  <c r="H66" i="54" a="1"/>
  <c r="H66" i="54" s="1"/>
  <c r="H63" i="32" a="1"/>
  <c r="H63" i="32" s="1"/>
  <c r="H44" i="35" a="1"/>
  <c r="H44" i="35" s="1"/>
  <c r="H46" i="18" a="1"/>
  <c r="H46" i="18" s="1"/>
  <c r="H28" i="26" a="1"/>
  <c r="H28" i="26" s="1"/>
  <c r="G28" i="71" a="1"/>
  <c r="G28" i="71" s="1"/>
  <c r="G58" i="69" a="1"/>
  <c r="G58" i="69" s="1"/>
  <c r="G85" i="59" a="1"/>
  <c r="G85" i="59" s="1"/>
  <c r="H10" i="5" a="1"/>
  <c r="H10" i="5" s="1"/>
  <c r="H17" i="6" a="1"/>
  <c r="H17" i="6" s="1"/>
  <c r="H16" i="7" a="1"/>
  <c r="H16" i="7" s="1"/>
  <c r="H6" i="7" a="1"/>
  <c r="H6" i="7" s="1"/>
  <c r="H21" i="8" a="1"/>
  <c r="H21" i="8" s="1"/>
  <c r="H19" i="8" a="1"/>
  <c r="H19" i="8" s="1"/>
  <c r="H17" i="8" a="1"/>
  <c r="H17" i="8" s="1"/>
  <c r="H11" i="8" a="1"/>
  <c r="H11" i="8" s="1"/>
  <c r="G20" i="9" a="1"/>
  <c r="G20" i="9" s="1"/>
  <c r="H11" i="9" a="1"/>
  <c r="H11" i="9" s="1"/>
  <c r="H5" i="10" a="1"/>
  <c r="H5" i="10" s="1"/>
  <c r="G18" i="11" a="1"/>
  <c r="G18" i="11" s="1"/>
  <c r="H6" i="11" a="1"/>
  <c r="H6" i="11" s="1"/>
  <c r="H23" i="12" a="1"/>
  <c r="H23" i="12" s="1"/>
  <c r="H5" i="12" a="1"/>
  <c r="H5" i="12" s="1"/>
  <c r="H20" i="13" a="1"/>
  <c r="H20" i="13" s="1"/>
  <c r="H12" i="13" a="1"/>
  <c r="H12" i="13" s="1"/>
  <c r="G8" i="14" a="1"/>
  <c r="G8" i="14" s="1"/>
  <c r="H21" i="16" a="1"/>
  <c r="H21" i="16" s="1"/>
  <c r="G15" i="17" a="1"/>
  <c r="G15" i="17" s="1"/>
  <c r="G42" i="18" a="1"/>
  <c r="G42" i="18" s="1"/>
  <c r="G20" i="19" a="1"/>
  <c r="G20" i="19" s="1"/>
  <c r="G17" i="19" a="1"/>
  <c r="G17" i="19" s="1"/>
  <c r="G9" i="47" a="1"/>
  <c r="G9" i="47" s="1"/>
  <c r="G6" i="46" a="1"/>
  <c r="G6" i="46" s="1"/>
  <c r="G7" i="66" a="1"/>
  <c r="G7" i="66" s="1"/>
  <c r="G24" i="28" a="1"/>
  <c r="G24" i="28" s="1"/>
  <c r="H13" i="58" a="1"/>
  <c r="H13" i="58" s="1"/>
  <c r="H14" i="47" a="1"/>
  <c r="H14" i="47" s="1"/>
  <c r="H8" i="46" a="1"/>
  <c r="H8" i="46" s="1"/>
  <c r="G19" i="47" a="1"/>
  <c r="G19" i="47" s="1"/>
  <c r="G9" i="46" a="1"/>
  <c r="G9" i="46" s="1"/>
  <c r="G6" i="64" a="1"/>
  <c r="G6" i="64" s="1"/>
  <c r="G6" i="38" a="1"/>
  <c r="G6" i="38" s="1"/>
  <c r="G9" i="58" a="1"/>
  <c r="G9" i="58" s="1"/>
  <c r="G8" i="51" a="1"/>
  <c r="G8" i="51" s="1"/>
  <c r="H9" i="54" a="1"/>
  <c r="H9" i="54" s="1"/>
  <c r="H19" i="51" a="1"/>
  <c r="H19" i="51" s="1"/>
  <c r="H6" i="21" a="1"/>
  <c r="H6" i="21" s="1"/>
  <c r="H6" i="20" a="1"/>
  <c r="H6" i="20" s="1"/>
  <c r="H11" i="23" a="1"/>
  <c r="H11" i="23" s="1"/>
  <c r="H10" i="18" a="1"/>
  <c r="H10" i="18" s="1"/>
  <c r="H8" i="24" a="1"/>
  <c r="H8" i="24" s="1"/>
  <c r="H12" i="18" a="1"/>
  <c r="H12" i="18" s="1"/>
  <c r="H14" i="18" a="1"/>
  <c r="H14" i="18" s="1"/>
  <c r="H7" i="17" a="1"/>
  <c r="H7" i="17" s="1"/>
  <c r="H8" i="20" a="1"/>
  <c r="H8" i="20" s="1"/>
  <c r="H10" i="25" a="1"/>
  <c r="H10" i="25" s="1"/>
  <c r="H12" i="26" a="1"/>
  <c r="H12" i="26" s="1"/>
  <c r="H9" i="21" a="1"/>
  <c r="H9" i="21" s="1"/>
  <c r="H10" i="47" a="1"/>
  <c r="H10" i="47" s="1"/>
  <c r="H7" i="46" a="1"/>
  <c r="H7" i="46" s="1"/>
  <c r="G8" i="13" a="1"/>
  <c r="G8" i="13" s="1"/>
  <c r="G9" i="11" a="1"/>
  <c r="G9" i="11" s="1"/>
  <c r="G8" i="9" a="1"/>
  <c r="G8" i="9" s="1"/>
  <c r="H16" i="44" a="1"/>
  <c r="H16" i="44" s="1"/>
  <c r="H15" i="24" a="1"/>
  <c r="H15" i="24" s="1"/>
  <c r="H11" i="17" a="1"/>
  <c r="H11" i="17" s="1"/>
  <c r="H13" i="26" a="1"/>
  <c r="H13" i="26" s="1"/>
  <c r="H17" i="23" a="1"/>
  <c r="H17" i="23" s="1"/>
  <c r="H8" i="22" a="1"/>
  <c r="H8" i="22" s="1"/>
  <c r="H15" i="25" a="1"/>
  <c r="H15" i="25" s="1"/>
  <c r="H16" i="18" a="1"/>
  <c r="H16" i="18" s="1"/>
  <c r="H11" i="7" a="1"/>
  <c r="H11" i="7" s="1"/>
  <c r="H7" i="14" a="1"/>
  <c r="H7" i="14" s="1"/>
  <c r="H10" i="13" a="1"/>
  <c r="H10" i="13" s="1"/>
  <c r="H12" i="12" a="1"/>
  <c r="H12" i="12" s="1"/>
  <c r="G17" i="58" a="1"/>
  <c r="G17" i="58" s="1"/>
  <c r="H18" i="23" a="1"/>
  <c r="H18" i="23" s="1"/>
  <c r="H17" i="18" a="1"/>
  <c r="H17" i="18" s="1"/>
  <c r="H12" i="17" a="1"/>
  <c r="H12" i="17" s="1"/>
  <c r="G18" i="18" a="1"/>
  <c r="G18" i="18" s="1"/>
  <c r="G17" i="24" a="1"/>
  <c r="G17" i="24" s="1"/>
  <c r="G19" i="23" a="1"/>
  <c r="G19" i="23" s="1"/>
  <c r="G11" i="13" a="1"/>
  <c r="G11" i="13" s="1"/>
  <c r="G11" i="9" a="1"/>
  <c r="G11" i="9" s="1"/>
  <c r="G13" i="12" a="1"/>
  <c r="G13" i="12" s="1"/>
  <c r="H13" i="9" a="1"/>
  <c r="H13" i="9" s="1"/>
  <c r="H14" i="7" a="1"/>
  <c r="H14" i="7" s="1"/>
  <c r="H13" i="13" a="1"/>
  <c r="H13" i="13" s="1"/>
  <c r="H15" i="12" a="1"/>
  <c r="H15" i="12" s="1"/>
  <c r="H30" i="49" a="1"/>
  <c r="H30" i="49" s="1"/>
  <c r="H22" i="41" a="1"/>
  <c r="H22" i="41" s="1"/>
  <c r="G11" i="69" a="1"/>
  <c r="G11" i="69" s="1"/>
  <c r="G22" i="58" a="1"/>
  <c r="G22" i="58" s="1"/>
  <c r="G33" i="51" a="1"/>
  <c r="G33" i="51" s="1"/>
  <c r="G31" i="49" a="1"/>
  <c r="G31" i="49" s="1"/>
  <c r="G20" i="44" a="1"/>
  <c r="G20" i="44" s="1"/>
  <c r="G37" i="32" a="1"/>
  <c r="G37" i="32" s="1"/>
  <c r="G34" i="28" a="1"/>
  <c r="G34" i="28" s="1"/>
  <c r="H13" i="65" a="1"/>
  <c r="H13" i="65" s="1"/>
  <c r="H26" i="54" a="1"/>
  <c r="H26" i="54" s="1"/>
  <c r="H12" i="69" a="1"/>
  <c r="H12" i="69" s="1"/>
  <c r="H31" i="54" a="1"/>
  <c r="H31" i="54" s="1"/>
  <c r="G22" i="65" a="1"/>
  <c r="G22" i="65" s="1"/>
  <c r="G25" i="64" a="1"/>
  <c r="G25" i="64" s="1"/>
  <c r="G17" i="38" a="1"/>
  <c r="G17" i="38" s="1"/>
  <c r="G42" i="59" a="1"/>
  <c r="G42" i="59" s="1"/>
  <c r="G23" i="58" a="1"/>
  <c r="G23" i="58" s="1"/>
  <c r="G37" i="51" a="1"/>
  <c r="G37" i="51" s="1"/>
  <c r="G31" i="27" a="1"/>
  <c r="G31" i="27" s="1"/>
  <c r="G22" i="69" a="1"/>
  <c r="G22" i="69" s="1"/>
  <c r="G11" i="68" a="1"/>
  <c r="G11" i="68" s="1"/>
  <c r="G10" i="62" a="1"/>
  <c r="G10" i="62" s="1"/>
  <c r="G48" i="59" a="1"/>
  <c r="G48" i="59" s="1"/>
  <c r="G28" i="58" a="1"/>
  <c r="G28" i="58" s="1"/>
  <c r="G45" i="54" a="1"/>
  <c r="G45" i="54" s="1"/>
  <c r="G42" i="51" a="1"/>
  <c r="G42" i="51" s="1"/>
  <c r="G48" i="47" a="1"/>
  <c r="G48" i="47" s="1"/>
  <c r="G21" i="46" a="1"/>
  <c r="G21" i="46" s="1"/>
  <c r="G20" i="38" a="1"/>
  <c r="G20" i="38" s="1"/>
  <c r="G29" i="41" a="1"/>
  <c r="G29" i="41" s="1"/>
  <c r="G45" i="32" a="1"/>
  <c r="G45" i="32" s="1"/>
  <c r="G27" i="35" a="1"/>
  <c r="G27" i="35" s="1"/>
  <c r="G40" i="28" a="1"/>
  <c r="G40" i="28" s="1"/>
  <c r="G27" i="44" a="1"/>
  <c r="G27" i="44" s="1"/>
  <c r="G34" i="27" a="1"/>
  <c r="G34" i="27" s="1"/>
  <c r="G23" i="25" a="1"/>
  <c r="G23" i="25" s="1"/>
  <c r="G21" i="26" a="1"/>
  <c r="G21" i="26" s="1"/>
  <c r="G28" i="18" a="1"/>
  <c r="G28" i="18" s="1"/>
  <c r="G11" i="71" a="1"/>
  <c r="G11" i="71" s="1"/>
  <c r="G50" i="59" a="1"/>
  <c r="G50" i="59" s="1"/>
  <c r="H52" i="59" a="1"/>
  <c r="H52" i="59" s="1"/>
  <c r="H45" i="51" a="1"/>
  <c r="H45" i="51" s="1"/>
  <c r="H47" i="54" a="1"/>
  <c r="H47" i="54" s="1"/>
  <c r="H29" i="35" a="1"/>
  <c r="H29" i="35" s="1"/>
  <c r="H29" i="44" a="1"/>
  <c r="H29" i="44" s="1"/>
  <c r="H36" i="27" a="1"/>
  <c r="H36" i="27" s="1"/>
  <c r="H23" i="19" a="1"/>
  <c r="H23" i="19" s="1"/>
  <c r="H30" i="18" a="1"/>
  <c r="H30" i="18" s="1"/>
  <c r="H17" i="20" a="1"/>
  <c r="H17" i="20" s="1"/>
  <c r="H12" i="22" a="1"/>
  <c r="H12" i="22" s="1"/>
  <c r="H20" i="17" a="1"/>
  <c r="H20" i="17" s="1"/>
  <c r="H22" i="26" a="1"/>
  <c r="H22" i="26" s="1"/>
  <c r="H50" i="47" a="1"/>
  <c r="H50" i="47" s="1"/>
  <c r="H22" i="46" a="1"/>
  <c r="H22" i="46" s="1"/>
  <c r="G50" i="54" a="1"/>
  <c r="G50" i="54" s="1"/>
  <c r="G52" i="47" a="1"/>
  <c r="G52" i="47" s="1"/>
  <c r="G31" i="44" a="1"/>
  <c r="G31" i="44" s="1"/>
  <c r="G43" i="28" a="1"/>
  <c r="G43" i="28" s="1"/>
  <c r="H12" i="68" a="1"/>
  <c r="H12" i="68" s="1"/>
  <c r="H55" i="59" a="1"/>
  <c r="H55" i="59" s="1"/>
  <c r="H39" i="27" a="1"/>
  <c r="H39" i="27" s="1"/>
  <c r="G14" i="71" a="1"/>
  <c r="G14" i="71" s="1"/>
  <c r="G38" i="69" a="1"/>
  <c r="G38" i="69" s="1"/>
  <c r="G26" i="65" a="1"/>
  <c r="G26" i="65" s="1"/>
  <c r="G13" i="68" a="1"/>
  <c r="G13" i="68" s="1"/>
  <c r="G27" i="64" a="1"/>
  <c r="G27" i="64" s="1"/>
  <c r="G32" i="58" a="1"/>
  <c r="G32" i="58" s="1"/>
  <c r="G10" i="56" a="1"/>
  <c r="G10" i="56" s="1"/>
  <c r="G7" i="57" a="1"/>
  <c r="G7" i="57" s="1"/>
  <c r="G49" i="51" a="1"/>
  <c r="G49" i="51" s="1"/>
  <c r="G52" i="54" a="1"/>
  <c r="G52" i="54" s="1"/>
  <c r="G39" i="49" a="1"/>
  <c r="G39" i="49" s="1"/>
  <c r="G15" i="48" a="1"/>
  <c r="G15" i="48" s="1"/>
  <c r="G30" i="41" a="1"/>
  <c r="G30" i="41" s="1"/>
  <c r="G34" i="44" a="1"/>
  <c r="G34" i="44" s="1"/>
  <c r="G46" i="32" a="1"/>
  <c r="G46" i="32" s="1"/>
  <c r="G30" i="35" a="1"/>
  <c r="G30" i="35" s="1"/>
  <c r="G34" i="18" a="1"/>
  <c r="G34" i="18" s="1"/>
  <c r="G33" i="23" a="1"/>
  <c r="G33" i="23" s="1"/>
  <c r="G22" i="12" a="1"/>
  <c r="G22" i="12" s="1"/>
  <c r="G19" i="8" a="1"/>
  <c r="G19" i="8" s="1"/>
  <c r="G19" i="13" a="1"/>
  <c r="G19" i="13" s="1"/>
  <c r="G19" i="9" a="1"/>
  <c r="G19" i="9" s="1"/>
  <c r="G9" i="10" a="1"/>
  <c r="G9" i="10" s="1"/>
  <c r="H41" i="69" a="1"/>
  <c r="H41" i="69" s="1"/>
  <c r="H14" i="68" a="1"/>
  <c r="H14" i="68" s="1"/>
  <c r="H11" i="62" a="1"/>
  <c r="H11" i="62" s="1"/>
  <c r="H59" i="59" a="1"/>
  <c r="H59" i="59" s="1"/>
  <c r="H51" i="51" a="1"/>
  <c r="H51" i="51" s="1"/>
  <c r="H54" i="54" a="1"/>
  <c r="H54" i="54" s="1"/>
  <c r="H53" i="47" a="1"/>
  <c r="H53" i="47" s="1"/>
  <c r="H23" i="46" a="1"/>
  <c r="H23" i="46" s="1"/>
  <c r="H32" i="41" a="1"/>
  <c r="H32" i="41" s="1"/>
  <c r="H36" i="44" a="1"/>
  <c r="H36" i="44" s="1"/>
  <c r="H31" i="35" a="1"/>
  <c r="H31" i="35" s="1"/>
  <c r="H48" i="32" a="1"/>
  <c r="H48" i="32" s="1"/>
  <c r="H41" i="27" a="1"/>
  <c r="H41" i="27" s="1"/>
  <c r="H34" i="23" a="1"/>
  <c r="H34" i="23" s="1"/>
  <c r="H18" i="20" a="1"/>
  <c r="H18" i="20" s="1"/>
  <c r="H27" i="25" a="1"/>
  <c r="H27" i="25" s="1"/>
  <c r="H25" i="26" a="1"/>
  <c r="H25" i="26" s="1"/>
  <c r="H19" i="21" a="1"/>
  <c r="H19" i="21" s="1"/>
  <c r="H35" i="18" a="1"/>
  <c r="H35" i="18" s="1"/>
  <c r="H25" i="19" a="1"/>
  <c r="H25" i="19" s="1"/>
  <c r="H15" i="67" a="1"/>
  <c r="H15" i="67" s="1"/>
  <c r="H17" i="68" a="1"/>
  <c r="H17" i="68" s="1"/>
  <c r="H25" i="38" a="1"/>
  <c r="H25" i="38" s="1"/>
  <c r="G19" i="68" a="1"/>
  <c r="G19" i="68" s="1"/>
  <c r="G32" i="64" a="1"/>
  <c r="G32" i="64" s="1"/>
  <c r="H21" i="68" a="1"/>
  <c r="H21" i="68" s="1"/>
  <c r="H38" i="44" a="1"/>
  <c r="H38" i="44" s="1"/>
  <c r="H45" i="69" a="1"/>
  <c r="H45" i="69" s="1"/>
  <c r="H25" i="68" a="1"/>
  <c r="H25" i="68" s="1"/>
  <c r="H37" i="58" a="1"/>
  <c r="H37" i="58" s="1"/>
  <c r="H67" i="59" a="1"/>
  <c r="H67" i="59" s="1"/>
  <c r="H45" i="49" a="1"/>
  <c r="H45" i="49" s="1"/>
  <c r="G28" i="68" a="1"/>
  <c r="G28" i="68" s="1"/>
  <c r="G68" i="59" a="1"/>
  <c r="G68" i="59" s="1"/>
  <c r="G34" i="38" a="1"/>
  <c r="G34" i="38" s="1"/>
  <c r="G51" i="28" a="1"/>
  <c r="G51" i="28" s="1"/>
  <c r="H20" i="71" a="1"/>
  <c r="H20" i="71" s="1"/>
  <c r="H31" i="68" a="1"/>
  <c r="H31" i="68" s="1"/>
  <c r="G38" i="58" a="1"/>
  <c r="G38" i="58" s="1"/>
  <c r="G33" i="41" a="1"/>
  <c r="G33" i="41" s="1"/>
  <c r="G47" i="49" a="1"/>
  <c r="G47" i="49" s="1"/>
  <c r="G54" i="28" a="1"/>
  <c r="G54" i="28" s="1"/>
  <c r="G47" i="69" a="1"/>
  <c r="G47" i="69" s="1"/>
  <c r="G29" i="65" a="1"/>
  <c r="G29" i="65" s="1"/>
  <c r="G57" i="54" a="1"/>
  <c r="G57" i="54" s="1"/>
  <c r="G56" i="28" a="1"/>
  <c r="G56" i="28" s="1"/>
  <c r="G44" i="64" a="1"/>
  <c r="G44" i="64" s="1"/>
  <c r="G59" i="54" a="1"/>
  <c r="G59" i="54" s="1"/>
  <c r="G54" i="51" a="1"/>
  <c r="G54" i="51" s="1"/>
  <c r="G48" i="49" a="1"/>
  <c r="G48" i="49" s="1"/>
  <c r="G34" i="41" a="1"/>
  <c r="G34" i="41" s="1"/>
  <c r="G54" i="32" a="1"/>
  <c r="G54" i="32" s="1"/>
  <c r="G51" i="69" a="1"/>
  <c r="G51" i="69" s="1"/>
  <c r="G21" i="67" a="1"/>
  <c r="G21" i="67" s="1"/>
  <c r="G42" i="58" a="1"/>
  <c r="G42" i="58" s="1"/>
  <c r="G57" i="51" a="1"/>
  <c r="G57" i="51" s="1"/>
  <c r="G39" i="35" a="1"/>
  <c r="G39" i="35" s="1"/>
  <c r="G57" i="32" a="1"/>
  <c r="G57" i="32" s="1"/>
  <c r="H53" i="69" a="1"/>
  <c r="H53" i="69" s="1"/>
  <c r="H64" i="54" a="1"/>
  <c r="H64" i="54" s="1"/>
  <c r="H59" i="51" a="1"/>
  <c r="H59" i="51" s="1"/>
  <c r="H53" i="49" a="1"/>
  <c r="H53" i="49" s="1"/>
  <c r="H43" i="44" a="1"/>
  <c r="H43" i="44" s="1"/>
  <c r="H64" i="28" a="1"/>
  <c r="H64" i="28" s="1"/>
  <c r="H56" i="69" a="1"/>
  <c r="H56" i="69" s="1"/>
  <c r="H81" i="59" a="1"/>
  <c r="H81" i="59" s="1"/>
  <c r="H46" i="58" a="1"/>
  <c r="H46" i="58" s="1"/>
  <c r="H63" i="47" a="1"/>
  <c r="H63" i="47" s="1"/>
  <c r="H61" i="32" a="1"/>
  <c r="H61" i="32" s="1"/>
  <c r="H39" i="41" a="1"/>
  <c r="H39" i="41" s="1"/>
  <c r="H36" i="24" a="1"/>
  <c r="H36" i="24" s="1"/>
  <c r="H35" i="25" a="1"/>
  <c r="H35" i="25" s="1"/>
  <c r="G66" i="54" a="1"/>
  <c r="G66" i="54" s="1"/>
  <c r="G63" i="51" a="1"/>
  <c r="G63" i="51" s="1"/>
  <c r="G44" i="35" a="1"/>
  <c r="G44" i="35" s="1"/>
  <c r="G63" i="32" a="1"/>
  <c r="G63" i="32" s="1"/>
  <c r="G28" i="26" a="1"/>
  <c r="G28" i="26" s="1"/>
  <c r="H57" i="49" a="1"/>
  <c r="H57" i="49" s="1"/>
  <c r="H45" i="35" a="1"/>
  <c r="H45" i="35" s="1"/>
  <c r="H39" i="38" a="1"/>
  <c r="H39" i="38" s="1"/>
  <c r="H46" i="64" a="1"/>
  <c r="H46" i="64" s="1"/>
  <c r="H37" i="25" a="1"/>
  <c r="H37" i="25" s="1"/>
  <c r="H38" i="24" a="1"/>
  <c r="H38" i="24" s="1"/>
  <c r="H35" i="19" a="1"/>
  <c r="H35" i="19" s="1"/>
  <c r="H13" i="5" a="1"/>
  <c r="H13" i="5" s="1"/>
  <c r="G11" i="5" a="1"/>
  <c r="G11" i="5" s="1"/>
  <c r="G15" i="6" a="1"/>
  <c r="G15" i="6" s="1"/>
  <c r="G24" i="7" a="1"/>
  <c r="G24" i="7" s="1"/>
  <c r="G19" i="7" a="1"/>
  <c r="G19" i="7" s="1"/>
  <c r="H12" i="7" a="1"/>
  <c r="H12" i="7" s="1"/>
  <c r="G6" i="9" a="1"/>
  <c r="G6" i="9" s="1"/>
  <c r="G16" i="11" a="1"/>
  <c r="G16" i="11" s="1"/>
  <c r="G20" i="12" a="1"/>
  <c r="G20" i="12" s="1"/>
  <c r="H17" i="13" a="1"/>
  <c r="H17" i="13" s="1"/>
  <c r="H11" i="14" a="1"/>
  <c r="H11" i="14" s="1"/>
  <c r="H34" i="16" a="1"/>
  <c r="H34" i="16" s="1"/>
  <c r="H25" i="17" a="1"/>
  <c r="H25" i="17" s="1"/>
  <c r="G21" i="17" a="1"/>
  <c r="G21" i="17" s="1"/>
  <c r="H36" i="18" a="1"/>
  <c r="H36" i="18" s="1"/>
  <c r="H34" i="19" a="1"/>
  <c r="H34" i="19" s="1"/>
  <c r="G12" i="20" a="1"/>
  <c r="G12" i="20" s="1"/>
  <c r="H18" i="21" a="1"/>
  <c r="H18" i="21" s="1"/>
  <c r="G28" i="23" a="1"/>
  <c r="G28" i="23" s="1"/>
  <c r="G6" i="59" a="1"/>
  <c r="G6" i="59" s="1"/>
  <c r="G5" i="26" a="1"/>
  <c r="G5" i="26" s="1"/>
  <c r="G9" i="54" a="1"/>
  <c r="G9" i="54" s="1"/>
  <c r="G19" i="51" a="1"/>
  <c r="G19" i="51" s="1"/>
  <c r="H8" i="18" a="1"/>
  <c r="H8" i="18" s="1"/>
  <c r="H8" i="23" a="1"/>
  <c r="H8" i="23" s="1"/>
  <c r="G12" i="26" a="1"/>
  <c r="G12" i="26" s="1"/>
  <c r="G10" i="25" a="1"/>
  <c r="G10" i="25" s="1"/>
  <c r="G11" i="24" a="1"/>
  <c r="G11" i="24" s="1"/>
  <c r="G11" i="19" a="1"/>
  <c r="G11" i="19" s="1"/>
  <c r="G14" i="18" a="1"/>
  <c r="G14" i="18" s="1"/>
  <c r="G8" i="20" a="1"/>
  <c r="G8" i="20" s="1"/>
  <c r="G14" i="23" a="1"/>
  <c r="G14" i="23" s="1"/>
  <c r="G9" i="21" a="1"/>
  <c r="G9" i="21" s="1"/>
  <c r="H8" i="17" a="1"/>
  <c r="H8" i="17" s="1"/>
  <c r="H15" i="23" a="1"/>
  <c r="H15" i="23" s="1"/>
  <c r="G16" i="44" a="1"/>
  <c r="G16" i="44" s="1"/>
  <c r="G12" i="19" a="1"/>
  <c r="G12" i="19" s="1"/>
  <c r="G15" i="24" a="1"/>
  <c r="G15" i="24" s="1"/>
  <c r="G13" i="26" a="1"/>
  <c r="G13" i="26" s="1"/>
  <c r="G17" i="23" a="1"/>
  <c r="G17" i="23" s="1"/>
  <c r="G8" i="22" a="1"/>
  <c r="G8" i="22" s="1"/>
  <c r="G15" i="25" a="1"/>
  <c r="G15" i="25" s="1"/>
  <c r="H26" i="49" a="1"/>
  <c r="H26" i="49" s="1"/>
  <c r="H6" i="37" a="1"/>
  <c r="H6" i="37" s="1"/>
  <c r="G10" i="9" a="1"/>
  <c r="G10" i="9" s="1"/>
  <c r="G7" i="14" a="1"/>
  <c r="G7" i="14" s="1"/>
  <c r="G10" i="13" a="1"/>
  <c r="G10" i="13" s="1"/>
  <c r="H36" i="59" a="1"/>
  <c r="H36" i="59" s="1"/>
  <c r="H17" i="44" a="1"/>
  <c r="H17" i="44" s="1"/>
  <c r="G18" i="23" a="1"/>
  <c r="G18" i="23" s="1"/>
  <c r="G12" i="17" a="1"/>
  <c r="G12" i="17" s="1"/>
  <c r="G17" i="18" a="1"/>
  <c r="G17" i="18" s="1"/>
  <c r="G13" i="9" a="1"/>
  <c r="G13" i="9" s="1"/>
  <c r="G13" i="13" a="1"/>
  <c r="G13" i="13" s="1"/>
  <c r="G30" i="49" a="1"/>
  <c r="G30" i="49" s="1"/>
  <c r="G22" i="41" a="1"/>
  <c r="G22" i="41" s="1"/>
  <c r="H10" i="69" a="1"/>
  <c r="H10" i="69" s="1"/>
  <c r="H21" i="58" a="1"/>
  <c r="H21" i="58" s="1"/>
  <c r="H41" i="59" a="1"/>
  <c r="H41" i="59" s="1"/>
  <c r="H16" i="11" a="1"/>
  <c r="H16" i="11" s="1"/>
  <c r="G13" i="65" a="1"/>
  <c r="G13" i="65" s="1"/>
  <c r="G26" i="54" a="1"/>
  <c r="G26" i="54" s="1"/>
  <c r="G12" i="69" a="1"/>
  <c r="G12" i="69" s="1"/>
  <c r="G31" i="54" a="1"/>
  <c r="G31" i="54" s="1"/>
  <c r="H7" i="63" a="1"/>
  <c r="H7" i="63" s="1"/>
  <c r="H9" i="62" a="1"/>
  <c r="H9" i="62" s="1"/>
  <c r="H36" i="51" a="1"/>
  <c r="H36" i="51" s="1"/>
  <c r="H46" i="47" a="1"/>
  <c r="H46" i="47" s="1"/>
  <c r="H25" i="41" a="1"/>
  <c r="H25" i="41" s="1"/>
  <c r="H20" i="69" a="1"/>
  <c r="H20" i="69" s="1"/>
  <c r="H43" i="32" a="1"/>
  <c r="H43" i="32" s="1"/>
  <c r="H46" i="59" a="1"/>
  <c r="H46" i="59" s="1"/>
  <c r="H7" i="56" a="1"/>
  <c r="H7" i="56" s="1"/>
  <c r="H43" i="54" a="1"/>
  <c r="H43" i="54" s="1"/>
  <c r="H40" i="51" a="1"/>
  <c r="H40" i="51" s="1"/>
  <c r="H34" i="49" a="1"/>
  <c r="H34" i="49" s="1"/>
  <c r="H25" i="44" a="1"/>
  <c r="H25" i="44" s="1"/>
  <c r="H10" i="29" a="1"/>
  <c r="H10" i="29" s="1"/>
  <c r="H16" i="9" a="1"/>
  <c r="H16" i="9" s="1"/>
  <c r="H16" i="13" a="1"/>
  <c r="H16" i="13" s="1"/>
  <c r="H19" i="11" a="1"/>
  <c r="H19" i="11" s="1"/>
  <c r="G52" i="59" a="1"/>
  <c r="G52" i="59" s="1"/>
  <c r="G47" i="54" a="1"/>
  <c r="G47" i="54" s="1"/>
  <c r="G45" i="51" a="1"/>
  <c r="G45" i="51" s="1"/>
  <c r="G29" i="44" a="1"/>
  <c r="G29" i="44" s="1"/>
  <c r="G29" i="35" a="1"/>
  <c r="G29" i="35" s="1"/>
  <c r="G36" i="27" a="1"/>
  <c r="G36" i="27" s="1"/>
  <c r="G22" i="26" a="1"/>
  <c r="G22" i="26" s="1"/>
  <c r="G18" i="21" a="1"/>
  <c r="G18" i="21" s="1"/>
  <c r="G20" i="17" a="1"/>
  <c r="G20" i="17" s="1"/>
  <c r="G30" i="18" a="1"/>
  <c r="G30" i="18" s="1"/>
  <c r="G17" i="20" a="1"/>
  <c r="G17" i="20" s="1"/>
  <c r="G12" i="22" a="1"/>
  <c r="G12" i="22" s="1"/>
  <c r="G30" i="23" a="1"/>
  <c r="G30" i="23" s="1"/>
  <c r="G50" i="47" a="1"/>
  <c r="G50" i="47" s="1"/>
  <c r="G22" i="46" a="1"/>
  <c r="G22" i="46" s="1"/>
  <c r="G12" i="68" a="1"/>
  <c r="G12" i="68" s="1"/>
  <c r="G55" i="59" a="1"/>
  <c r="G55" i="59" s="1"/>
  <c r="G39" i="27" a="1"/>
  <c r="G39" i="27" s="1"/>
  <c r="H9" i="56" a="1"/>
  <c r="H9" i="56" s="1"/>
  <c r="H51" i="54" a="1"/>
  <c r="H51" i="54" s="1"/>
  <c r="H38" i="49" a="1"/>
  <c r="H38" i="49" s="1"/>
  <c r="H12" i="29" a="1"/>
  <c r="H12" i="29" s="1"/>
  <c r="H21" i="12" a="1"/>
  <c r="H21" i="12" s="1"/>
  <c r="H18" i="13" a="1"/>
  <c r="H18" i="13" s="1"/>
  <c r="H18" i="9" a="1"/>
  <c r="H18" i="9" s="1"/>
  <c r="G41" i="69" a="1"/>
  <c r="G41" i="69" s="1"/>
  <c r="G14" i="68" a="1"/>
  <c r="G14" i="68" s="1"/>
  <c r="G11" i="62" a="1"/>
  <c r="G11" i="62" s="1"/>
  <c r="G59" i="59" a="1"/>
  <c r="G59" i="59" s="1"/>
  <c r="G54" i="54" a="1"/>
  <c r="G54" i="54" s="1"/>
  <c r="G51" i="51" a="1"/>
  <c r="G51" i="51" s="1"/>
  <c r="G23" i="46" a="1"/>
  <c r="G23" i="46" s="1"/>
  <c r="G53" i="47" a="1"/>
  <c r="G53" i="47" s="1"/>
  <c r="G32" i="41" a="1"/>
  <c r="G32" i="41" s="1"/>
  <c r="G36" i="44" a="1"/>
  <c r="G36" i="44" s="1"/>
  <c r="G31" i="35" a="1"/>
  <c r="G31" i="35" s="1"/>
  <c r="G48" i="32" a="1"/>
  <c r="G48" i="32" s="1"/>
  <c r="G41" i="27" a="1"/>
  <c r="G41" i="27" s="1"/>
  <c r="G27" i="24" a="1"/>
  <c r="G27" i="24" s="1"/>
  <c r="G34" i="23" a="1"/>
  <c r="G34" i="23" s="1"/>
  <c r="G35" i="18" a="1"/>
  <c r="G35" i="18" s="1"/>
  <c r="G27" i="25" a="1"/>
  <c r="G27" i="25" s="1"/>
  <c r="G19" i="21" a="1"/>
  <c r="G19" i="21" s="1"/>
  <c r="G25" i="19" a="1"/>
  <c r="G25" i="19" s="1"/>
  <c r="G25" i="26" a="1"/>
  <c r="G25" i="26" s="1"/>
  <c r="H16" i="71" a="1"/>
  <c r="H16" i="71" s="1"/>
  <c r="H60" i="59" a="1"/>
  <c r="H60" i="59" s="1"/>
  <c r="G17" i="68" a="1"/>
  <c r="G17" i="68" s="1"/>
  <c r="G15" i="67" a="1"/>
  <c r="G15" i="67" s="1"/>
  <c r="G25" i="38" a="1"/>
  <c r="G25" i="38" s="1"/>
  <c r="H42" i="69" a="1"/>
  <c r="H42" i="69" s="1"/>
  <c r="H30" i="64" a="1"/>
  <c r="H30" i="64" s="1"/>
  <c r="G21" i="68" a="1"/>
  <c r="G21" i="68" s="1"/>
  <c r="G38" i="44" a="1"/>
  <c r="G38" i="44" s="1"/>
  <c r="G25" i="68" a="1"/>
  <c r="G25" i="68" s="1"/>
  <c r="G45" i="69" a="1"/>
  <c r="G45" i="69" s="1"/>
  <c r="G67" i="59" a="1"/>
  <c r="G67" i="59" s="1"/>
  <c r="G37" i="58" a="1"/>
  <c r="G37" i="58" s="1"/>
  <c r="G45" i="49" a="1"/>
  <c r="G45" i="49" s="1"/>
  <c r="H46" i="49" a="1"/>
  <c r="H46" i="49" s="1"/>
  <c r="H33" i="38" a="1"/>
  <c r="H33" i="38" s="1"/>
  <c r="H37" i="35" a="1"/>
  <c r="H37" i="35" s="1"/>
  <c r="G31" i="68" a="1"/>
  <c r="G31" i="68" s="1"/>
  <c r="G20" i="71" a="1"/>
  <c r="G20" i="71" s="1"/>
  <c r="H34" i="68" a="1"/>
  <c r="H34" i="68" s="1"/>
  <c r="H71" i="59" a="1"/>
  <c r="H71" i="59" s="1"/>
  <c r="H52" i="28" a="1"/>
  <c r="H52" i="28" s="1"/>
  <c r="H38" i="68" a="1"/>
  <c r="H38" i="68" s="1"/>
  <c r="H72" i="59" a="1"/>
  <c r="H72" i="59" s="1"/>
  <c r="H43" i="64" a="1"/>
  <c r="H43" i="64" s="1"/>
  <c r="H41" i="58" a="1"/>
  <c r="H41" i="58" s="1"/>
  <c r="H55" i="51" a="1"/>
  <c r="H55" i="51" s="1"/>
  <c r="H55" i="32" a="1"/>
  <c r="H55" i="32" s="1"/>
  <c r="H31" i="25" a="1"/>
  <c r="H31" i="25" s="1"/>
  <c r="H32" i="24" a="1"/>
  <c r="H32" i="24" s="1"/>
  <c r="H51" i="49" a="1"/>
  <c r="H51" i="49" s="1"/>
  <c r="H56" i="32" a="1"/>
  <c r="H56" i="32" s="1"/>
  <c r="H46" i="27" a="1"/>
  <c r="H46" i="27" s="1"/>
  <c r="G53" i="69" a="1"/>
  <c r="G53" i="69" s="1"/>
  <c r="G64" i="54" a="1"/>
  <c r="G64" i="54" s="1"/>
  <c r="G59" i="51" a="1"/>
  <c r="G59" i="51" s="1"/>
  <c r="G53" i="49" a="1"/>
  <c r="G53" i="49" s="1"/>
  <c r="G43" i="44" a="1"/>
  <c r="G43" i="44" s="1"/>
  <c r="G64" i="28" a="1"/>
  <c r="G64" i="28" s="1"/>
  <c r="H40" i="68" a="1"/>
  <c r="H40" i="68" s="1"/>
  <c r="H55" i="69" a="1"/>
  <c r="H55" i="69" s="1"/>
  <c r="H65" i="54" a="1"/>
  <c r="H65" i="54" s="1"/>
  <c r="H55" i="49" a="1"/>
  <c r="H55" i="49" s="1"/>
  <c r="H18" i="48" a="1"/>
  <c r="H18" i="48" s="1"/>
  <c r="G56" i="69" a="1"/>
  <c r="G56" i="69" s="1"/>
  <c r="G46" i="58" a="1"/>
  <c r="G46" i="58" s="1"/>
  <c r="G81" i="59" a="1"/>
  <c r="G81" i="59" s="1"/>
  <c r="G63" i="47" a="1"/>
  <c r="G63" i="47" s="1"/>
  <c r="G39" i="41" a="1"/>
  <c r="G39" i="41" s="1"/>
  <c r="G61" i="32" a="1"/>
  <c r="G61" i="32" s="1"/>
  <c r="G35" i="25" a="1"/>
  <c r="G35" i="25" s="1"/>
  <c r="G36" i="24" a="1"/>
  <c r="G36" i="24" s="1"/>
  <c r="H41" i="68" a="1"/>
  <c r="H41" i="68" s="1"/>
  <c r="H82" i="59" a="1"/>
  <c r="H82" i="59" s="1"/>
  <c r="H41" i="41" a="1"/>
  <c r="H41" i="41" s="1"/>
  <c r="H43" i="35" a="1"/>
  <c r="H43" i="35" s="1"/>
  <c r="H43" i="23" a="1"/>
  <c r="H43" i="23" s="1"/>
  <c r="H23" i="21" a="1"/>
  <c r="H23" i="21" s="1"/>
  <c r="H33" i="19" a="1"/>
  <c r="H33" i="19" s="1"/>
  <c r="H21" i="20" a="1"/>
  <c r="H21" i="20" s="1"/>
  <c r="G57" i="49" a="1"/>
  <c r="G57" i="49" s="1"/>
  <c r="G39" i="38" a="1"/>
  <c r="G39" i="38" s="1"/>
  <c r="G45" i="35" a="1"/>
  <c r="G45" i="35" s="1"/>
  <c r="H29" i="71" a="1"/>
  <c r="H29" i="71" s="1"/>
  <c r="H86" i="59" a="1"/>
  <c r="H86" i="59" s="1"/>
  <c r="H69" i="54" a="1"/>
  <c r="H69" i="54" s="1"/>
  <c r="H65" i="51" a="1"/>
  <c r="H65" i="51" s="1"/>
  <c r="H59" i="49" a="1"/>
  <c r="H59" i="49" s="1"/>
  <c r="H46" i="44" a="1"/>
  <c r="H46" i="44" s="1"/>
  <c r="H46" i="35" a="1"/>
  <c r="H46" i="35" s="1"/>
  <c r="H49" i="27" a="1"/>
  <c r="H49" i="27" s="1"/>
  <c r="H45" i="23" a="1"/>
  <c r="H45" i="23" s="1"/>
  <c r="H24" i="21" a="1"/>
  <c r="H24" i="21" s="1"/>
  <c r="H30" i="26" a="1"/>
  <c r="H30" i="26" s="1"/>
  <c r="H36" i="25" a="1"/>
  <c r="H36" i="25" s="1"/>
  <c r="H37" i="24" a="1"/>
  <c r="H37" i="24" s="1"/>
  <c r="H47" i="18" a="1"/>
  <c r="H47" i="18" s="1"/>
  <c r="H28" i="17" a="1"/>
  <c r="H28" i="17" s="1"/>
  <c r="H42" i="16" a="1"/>
  <c r="H42" i="16" s="1"/>
  <c r="G46" i="64" a="1"/>
  <c r="G46" i="64" s="1"/>
  <c r="G37" i="25" a="1"/>
  <c r="G37" i="25" s="1"/>
  <c r="G35" i="19" a="1"/>
  <c r="G35" i="19" s="1"/>
  <c r="G38" i="24" a="1"/>
  <c r="G38" i="24" s="1"/>
  <c r="H45" i="68" a="1"/>
  <c r="H45" i="68" s="1"/>
  <c r="H87" i="59" a="1"/>
  <c r="H87" i="59" s="1"/>
  <c r="H67" i="28" a="1"/>
  <c r="H67" i="28" s="1"/>
  <c r="H15" i="6" a="1"/>
  <c r="H15" i="6" s="1"/>
  <c r="H19" i="7" a="1"/>
  <c r="H19" i="7" s="1"/>
  <c r="G15" i="7" a="1"/>
  <c r="G15" i="7" s="1"/>
  <c r="G10" i="8" a="1"/>
  <c r="G10" i="8" s="1"/>
  <c r="G8" i="8" a="1"/>
  <c r="G8" i="8" s="1"/>
  <c r="G6" i="8" a="1"/>
  <c r="G6" i="8" s="1"/>
  <c r="G22" i="9" a="1"/>
  <c r="G22" i="9" s="1"/>
  <c r="H20" i="9" a="1"/>
  <c r="H20" i="9" s="1"/>
  <c r="G15" i="9" a="1"/>
  <c r="G15" i="9" s="1"/>
  <c r="H6" i="9" a="1"/>
  <c r="H6" i="9" s="1"/>
  <c r="H12" i="10" a="1"/>
  <c r="H12" i="10" s="1"/>
  <c r="H10" i="10" a="1"/>
  <c r="H10" i="10" s="1"/>
  <c r="G26" i="11" a="1"/>
  <c r="G26" i="11" s="1"/>
  <c r="G22" i="11" a="1"/>
  <c r="G22" i="11" s="1"/>
  <c r="G20" i="11" a="1"/>
  <c r="G20" i="11" s="1"/>
  <c r="H18" i="11" a="1"/>
  <c r="H18" i="11" s="1"/>
  <c r="G13" i="11" a="1"/>
  <c r="G13" i="11" s="1"/>
  <c r="H25" i="12" a="1"/>
  <c r="H25" i="12" s="1"/>
  <c r="G11" i="12" a="1"/>
  <c r="G11" i="12" s="1"/>
  <c r="G9" i="12" a="1"/>
  <c r="G9" i="12" s="1"/>
  <c r="H14" i="13" a="1"/>
  <c r="H14" i="13" s="1"/>
  <c r="G28" i="16" a="1"/>
  <c r="G28" i="16" s="1"/>
  <c r="G11" i="17" a="1"/>
  <c r="G11" i="17" s="1"/>
  <c r="G38" i="18" a="1"/>
  <c r="G38" i="18" s="1"/>
  <c r="H32" i="18" a="1"/>
  <c r="H32" i="18" s="1"/>
  <c r="G16" i="18" a="1"/>
  <c r="G16" i="18" s="1"/>
  <c r="H12" i="19" a="1"/>
  <c r="H12" i="19" s="1"/>
  <c r="G22" i="21" a="1"/>
  <c r="G22" i="21" s="1"/>
  <c r="G10" i="22" a="1"/>
  <c r="G10" i="22" s="1"/>
  <c r="H9" i="59" a="1"/>
  <c r="H9" i="59" s="1"/>
  <c r="H5" i="35" a="1"/>
  <c r="H5" i="35" s="1"/>
  <c r="H8" i="28" a="1"/>
  <c r="H8" i="28" s="1"/>
  <c r="H26" i="28" a="1"/>
  <c r="H26" i="28" s="1"/>
  <c r="H12" i="27" a="1"/>
  <c r="H12" i="27" s="1"/>
  <c r="H15" i="54" a="1"/>
  <c r="H15" i="54" s="1"/>
  <c r="G10" i="47" a="1"/>
  <c r="G10" i="47" s="1"/>
  <c r="G7" i="46" a="1"/>
  <c r="G7" i="46" s="1"/>
  <c r="H7" i="54" a="1"/>
  <c r="H7" i="54" s="1"/>
  <c r="H18" i="51" a="1"/>
  <c r="H18" i="51" s="1"/>
  <c r="H10" i="27" a="1"/>
  <c r="H10" i="27" s="1"/>
  <c r="H7" i="25" a="1"/>
  <c r="H7" i="25" s="1"/>
  <c r="H7" i="19" a="1"/>
  <c r="H7" i="19" s="1"/>
  <c r="H9" i="18" a="1"/>
  <c r="H9" i="18" s="1"/>
  <c r="H10" i="23" a="1"/>
  <c r="H10" i="23" s="1"/>
  <c r="H7" i="21" a="1"/>
  <c r="H7" i="21" s="1"/>
  <c r="H7" i="24" a="1"/>
  <c r="H7" i="24" s="1"/>
  <c r="H10" i="26" a="1"/>
  <c r="H10" i="26" s="1"/>
  <c r="G8" i="17" a="1"/>
  <c r="G8" i="17" s="1"/>
  <c r="G15" i="23" a="1"/>
  <c r="G15" i="23" s="1"/>
  <c r="G12" i="27" a="1"/>
  <c r="G12" i="27" s="1"/>
  <c r="G26" i="28" a="1"/>
  <c r="G26" i="28" s="1"/>
  <c r="G15" i="54" a="1"/>
  <c r="G15" i="54" s="1"/>
  <c r="H9" i="8" a="1"/>
  <c r="H9" i="8" s="1"/>
  <c r="H9" i="9" a="1"/>
  <c r="H9" i="9" s="1"/>
  <c r="H34" i="59" a="1"/>
  <c r="H34" i="59" s="1"/>
  <c r="H21" i="54" a="1"/>
  <c r="H21" i="54" s="1"/>
  <c r="H29" i="51" a="1"/>
  <c r="H29" i="51" s="1"/>
  <c r="H34" i="47" a="1"/>
  <c r="H34" i="47" s="1"/>
  <c r="G26" i="49" a="1"/>
  <c r="G26" i="49" s="1"/>
  <c r="G6" i="37" a="1"/>
  <c r="G6" i="37" s="1"/>
  <c r="G36" i="59" a="1"/>
  <c r="G36" i="59" s="1"/>
  <c r="G17" i="44" a="1"/>
  <c r="G17" i="44" s="1"/>
  <c r="H37" i="59" a="1"/>
  <c r="H37" i="59" s="1"/>
  <c r="H21" i="27" a="1"/>
  <c r="H21" i="27" s="1"/>
  <c r="H15" i="26" a="1"/>
  <c r="H15" i="26" s="1"/>
  <c r="H14" i="11" a="1"/>
  <c r="H14" i="11" s="1"/>
  <c r="H12" i="8" a="1"/>
  <c r="H12" i="8" s="1"/>
  <c r="H12" i="9" a="1"/>
  <c r="H12" i="9" s="1"/>
  <c r="H13" i="7" a="1"/>
  <c r="H13" i="7" s="1"/>
  <c r="H20" i="58" a="1"/>
  <c r="H20" i="58" s="1"/>
  <c r="H43" i="47" a="1"/>
  <c r="H43" i="47" s="1"/>
  <c r="H32" i="28" a="1"/>
  <c r="H32" i="28" s="1"/>
  <c r="H20" i="18" a="1"/>
  <c r="H20" i="18" s="1"/>
  <c r="G10" i="69" a="1"/>
  <c r="G10" i="69" s="1"/>
  <c r="G21" i="58" a="1"/>
  <c r="G21" i="58" s="1"/>
  <c r="H23" i="54" a="1"/>
  <c r="H23" i="54" s="1"/>
  <c r="H34" i="51" a="1"/>
  <c r="H34" i="51" s="1"/>
  <c r="H23" i="41" a="1"/>
  <c r="H23" i="41" s="1"/>
  <c r="H22" i="18" a="1"/>
  <c r="H22" i="18" s="1"/>
  <c r="H14" i="21" a="1"/>
  <c r="H14" i="21" s="1"/>
  <c r="H22" i="23" a="1"/>
  <c r="H22" i="23" s="1"/>
  <c r="H13" i="20" a="1"/>
  <c r="H13" i="20" s="1"/>
  <c r="H16" i="17" a="1"/>
  <c r="H16" i="17" s="1"/>
  <c r="H18" i="26" a="1"/>
  <c r="H18" i="26" s="1"/>
  <c r="G41" i="59" a="1"/>
  <c r="G41" i="59" s="1"/>
  <c r="G14" i="13" a="1"/>
  <c r="G14" i="13" s="1"/>
  <c r="G16" i="12" a="1"/>
  <c r="G16" i="12" s="1"/>
  <c r="G9" i="62" a="1"/>
  <c r="G9" i="62" s="1"/>
  <c r="G7" i="63" a="1"/>
  <c r="G7" i="63" s="1"/>
  <c r="H12" i="67" a="1"/>
  <c r="H12" i="67" s="1"/>
  <c r="H39" i="54" a="1"/>
  <c r="H39" i="54" s="1"/>
  <c r="G36" i="51" a="1"/>
  <c r="G36" i="51" s="1"/>
  <c r="G46" i="47" a="1"/>
  <c r="G46" i="47" s="1"/>
  <c r="G25" i="41" a="1"/>
  <c r="G25" i="41" s="1"/>
  <c r="H18" i="69" a="1"/>
  <c r="H18" i="69" s="1"/>
  <c r="H41" i="54" a="1"/>
  <c r="H41" i="54" s="1"/>
  <c r="G20" i="69" a="1"/>
  <c r="G20" i="69" s="1"/>
  <c r="G43" i="32" a="1"/>
  <c r="G43" i="32" s="1"/>
  <c r="H25" i="58" a="1"/>
  <c r="H25" i="58" s="1"/>
  <c r="H38" i="51" a="1"/>
  <c r="H38" i="51" s="1"/>
  <c r="H27" i="41" a="1"/>
  <c r="H27" i="41" s="1"/>
  <c r="G7" i="56" a="1"/>
  <c r="G7" i="56" s="1"/>
  <c r="G46" i="59" a="1"/>
  <c r="G46" i="59" s="1"/>
  <c r="G40" i="51" a="1"/>
  <c r="G40" i="51" s="1"/>
  <c r="G43" i="54" a="1"/>
  <c r="G43" i="54" s="1"/>
  <c r="G34" i="49" a="1"/>
  <c r="G34" i="49" s="1"/>
  <c r="G10" i="29" a="1"/>
  <c r="G10" i="29" s="1"/>
  <c r="G25" i="44" a="1"/>
  <c r="G25" i="44" s="1"/>
  <c r="G16" i="8" a="1"/>
  <c r="G16" i="8" s="1"/>
  <c r="G19" i="12" a="1"/>
  <c r="G19" i="12" s="1"/>
  <c r="G16" i="13" a="1"/>
  <c r="G16" i="13" s="1"/>
  <c r="G16" i="9" a="1"/>
  <c r="G16" i="9" s="1"/>
  <c r="H51" i="59" a="1"/>
  <c r="H51" i="59" s="1"/>
  <c r="H46" i="54" a="1"/>
  <c r="H46" i="54" s="1"/>
  <c r="H44" i="51" a="1"/>
  <c r="H44" i="51" s="1"/>
  <c r="H36" i="49" a="1"/>
  <c r="H36" i="49" s="1"/>
  <c r="H28" i="44" a="1"/>
  <c r="H28" i="44" s="1"/>
  <c r="H29" i="23" a="1"/>
  <c r="H29" i="23" s="1"/>
  <c r="H24" i="24" a="1"/>
  <c r="H24" i="24" s="1"/>
  <c r="H29" i="18" a="1"/>
  <c r="H29" i="18" s="1"/>
  <c r="H24" i="25" a="1"/>
  <c r="H24" i="25" s="1"/>
  <c r="H32" i="44" a="1"/>
  <c r="H32" i="44" s="1"/>
  <c r="H44" i="28" a="1"/>
  <c r="H44" i="28" s="1"/>
  <c r="H26" i="24" a="1"/>
  <c r="H26" i="24" s="1"/>
  <c r="H33" i="18" a="1"/>
  <c r="H33" i="18" s="1"/>
  <c r="H24" i="19" a="1"/>
  <c r="H24" i="19" s="1"/>
  <c r="H26" i="25" a="1"/>
  <c r="H26" i="25" s="1"/>
  <c r="H22" i="17" a="1"/>
  <c r="H22" i="17" s="1"/>
  <c r="H32" i="23" a="1"/>
  <c r="H32" i="23" s="1"/>
  <c r="H33" i="16" a="1"/>
  <c r="H33" i="16" s="1"/>
  <c r="G51" i="54" a="1"/>
  <c r="G51" i="54" s="1"/>
  <c r="G9" i="56" a="1"/>
  <c r="G9" i="56" s="1"/>
  <c r="G38" i="49" a="1"/>
  <c r="G38" i="49" s="1"/>
  <c r="G12" i="29" a="1"/>
  <c r="G12" i="29" s="1"/>
  <c r="G21" i="12" a="1"/>
  <c r="G21" i="12" s="1"/>
  <c r="G18" i="8" a="1"/>
  <c r="G18" i="8" s="1"/>
  <c r="H15" i="71" a="1"/>
  <c r="H15" i="71" s="1"/>
  <c r="H39" i="69" a="1"/>
  <c r="H39" i="69" s="1"/>
  <c r="H14" i="67" a="1"/>
  <c r="H14" i="67" s="1"/>
  <c r="H9" i="63" a="1"/>
  <c r="H9" i="63" s="1"/>
  <c r="H33" i="58" a="1"/>
  <c r="H33" i="58" s="1"/>
  <c r="H58" i="59" a="1"/>
  <c r="H58" i="59" s="1"/>
  <c r="H53" i="54" a="1"/>
  <c r="H53" i="54" s="1"/>
  <c r="H50" i="51" a="1"/>
  <c r="H50" i="51" s="1"/>
  <c r="H16" i="48" a="1"/>
  <c r="H16" i="48" s="1"/>
  <c r="H40" i="49" a="1"/>
  <c r="H40" i="49" s="1"/>
  <c r="H7" i="42" a="1"/>
  <c r="H7" i="42" s="1"/>
  <c r="H21" i="38" a="1"/>
  <c r="H21" i="38" s="1"/>
  <c r="H47" i="32" a="1"/>
  <c r="H47" i="32" s="1"/>
  <c r="H47" i="28" a="1"/>
  <c r="H47" i="28" s="1"/>
  <c r="H40" i="27" a="1"/>
  <c r="H40" i="27" s="1"/>
  <c r="G16" i="71" a="1"/>
  <c r="G16" i="71" s="1"/>
  <c r="G60" i="59" a="1"/>
  <c r="G60" i="59" s="1"/>
  <c r="G42" i="69" a="1"/>
  <c r="G42" i="69" s="1"/>
  <c r="G30" i="64" a="1"/>
  <c r="G30" i="64" s="1"/>
  <c r="H50" i="28" a="1"/>
  <c r="H50" i="28" s="1"/>
  <c r="H13" i="29" a="1"/>
  <c r="H13" i="29" s="1"/>
  <c r="G46" i="49" a="1"/>
  <c r="G46" i="49" s="1"/>
  <c r="G33" i="38" a="1"/>
  <c r="G33" i="38" s="1"/>
  <c r="G37" i="35" a="1"/>
  <c r="G37" i="35" s="1"/>
  <c r="G34" i="68" a="1"/>
  <c r="G34" i="68" s="1"/>
  <c r="G71" i="59" a="1"/>
  <c r="G71" i="59" s="1"/>
  <c r="G52" i="28" a="1"/>
  <c r="G52" i="28" s="1"/>
  <c r="G38" i="68" a="1"/>
  <c r="G38" i="68" s="1"/>
  <c r="G72" i="59" a="1"/>
  <c r="G72" i="59" s="1"/>
  <c r="G43" i="64" a="1"/>
  <c r="G43" i="64" s="1"/>
  <c r="G41" i="58" a="1"/>
  <c r="G41" i="58" s="1"/>
  <c r="H75" i="59" a="1"/>
  <c r="H75" i="59" s="1"/>
  <c r="H40" i="44" a="1"/>
  <c r="H40" i="44" s="1"/>
  <c r="H48" i="69" a="1"/>
  <c r="H48" i="69" s="1"/>
  <c r="H35" i="41" a="1"/>
  <c r="H35" i="41" s="1"/>
  <c r="H17" i="29" a="1"/>
  <c r="H17" i="29" s="1"/>
  <c r="H24" i="12" a="1"/>
  <c r="H24" i="12" s="1"/>
  <c r="G55" i="51" a="1"/>
  <c r="G55" i="51" s="1"/>
  <c r="G55" i="32" a="1"/>
  <c r="G55" i="32" s="1"/>
  <c r="G31" i="25" a="1"/>
  <c r="G31" i="25" s="1"/>
  <c r="G32" i="24" a="1"/>
  <c r="G32" i="24" s="1"/>
  <c r="G31" i="19" a="1"/>
  <c r="G31" i="19" s="1"/>
  <c r="G41" i="16" a="1"/>
  <c r="G41" i="16" s="1"/>
  <c r="G51" i="49" a="1"/>
  <c r="G51" i="49" s="1"/>
  <c r="G56" i="32" a="1"/>
  <c r="G56" i="32" s="1"/>
  <c r="G46" i="27" a="1"/>
  <c r="G46" i="27" s="1"/>
  <c r="H39" i="68" a="1"/>
  <c r="H39" i="68" s="1"/>
  <c r="H27" i="71" a="1"/>
  <c r="H27" i="71" s="1"/>
  <c r="H31" i="65" a="1"/>
  <c r="H31" i="65" s="1"/>
  <c r="H43" i="58" a="1"/>
  <c r="H43" i="58" s="1"/>
  <c r="H52" i="49" a="1"/>
  <c r="H52" i="49" s="1"/>
  <c r="H58" i="32" a="1"/>
  <c r="H58" i="32" s="1"/>
  <c r="G40" i="68" a="1"/>
  <c r="G40" i="68" s="1"/>
  <c r="G55" i="69" a="1"/>
  <c r="G55" i="69" s="1"/>
  <c r="G65" i="54" a="1"/>
  <c r="G65" i="54" s="1"/>
  <c r="G55" i="49" a="1"/>
  <c r="G55" i="49" s="1"/>
  <c r="G18" i="48" a="1"/>
  <c r="G18" i="48" s="1"/>
  <c r="H62" i="47" a="1"/>
  <c r="H62" i="47" s="1"/>
  <c r="H60" i="32" a="1"/>
  <c r="H60" i="32" s="1"/>
  <c r="G41" i="68" a="1"/>
  <c r="G41" i="68" s="1"/>
  <c r="G82" i="59" a="1"/>
  <c r="G82" i="59" s="1"/>
  <c r="G43" i="35" a="1"/>
  <c r="G43" i="35" s="1"/>
  <c r="G41" i="41" a="1"/>
  <c r="G41" i="41" s="1"/>
  <c r="G23" i="21" a="1"/>
  <c r="G23" i="21" s="1"/>
  <c r="G33" i="19" a="1"/>
  <c r="G33" i="19" s="1"/>
  <c r="G43" i="23" a="1"/>
  <c r="G43" i="23" s="1"/>
  <c r="H64" i="51" a="1"/>
  <c r="H64" i="51" s="1"/>
  <c r="H67" i="47" a="1"/>
  <c r="H67" i="47" s="1"/>
  <c r="H65" i="28" a="1"/>
  <c r="H65" i="28" s="1"/>
  <c r="H27" i="17" a="1"/>
  <c r="H27" i="17" s="1"/>
  <c r="H44" i="23" a="1"/>
  <c r="H44" i="23" s="1"/>
  <c r="G29" i="71" a="1"/>
  <c r="G29" i="71" s="1"/>
  <c r="G86" i="59" a="1"/>
  <c r="G86" i="59" s="1"/>
  <c r="G65" i="51" a="1"/>
  <c r="G65" i="51" s="1"/>
  <c r="G69" i="54" a="1"/>
  <c r="G69" i="54" s="1"/>
  <c r="G59" i="49" a="1"/>
  <c r="G59" i="49" s="1"/>
  <c r="G46" i="44" a="1"/>
  <c r="G46" i="44" s="1"/>
  <c r="G46" i="35" a="1"/>
  <c r="G46" i="35" s="1"/>
  <c r="G49" i="27" a="1"/>
  <c r="G49" i="27" s="1"/>
  <c r="G16" i="22" a="1"/>
  <c r="G16" i="22" s="1"/>
  <c r="G47" i="18" a="1"/>
  <c r="G47" i="18" s="1"/>
  <c r="G28" i="17" a="1"/>
  <c r="G28" i="17" s="1"/>
  <c r="G34" i="19" a="1"/>
  <c r="G34" i="19" s="1"/>
  <c r="G30" i="26" a="1"/>
  <c r="G30" i="26" s="1"/>
  <c r="G36" i="25" a="1"/>
  <c r="G36" i="25" s="1"/>
  <c r="G22" i="20" a="1"/>
  <c r="G22" i="20" s="1"/>
  <c r="G45" i="23" a="1"/>
  <c r="G45" i="23" s="1"/>
  <c r="G37" i="24" a="1"/>
  <c r="G37" i="24" s="1"/>
  <c r="G45" i="68" a="1"/>
  <c r="G45" i="68" s="1"/>
  <c r="G87" i="59" a="1"/>
  <c r="G87" i="59" s="1"/>
  <c r="G67" i="28" a="1"/>
  <c r="G67" i="28" s="1"/>
  <c r="H11" i="5" a="1"/>
  <c r="H11" i="5" s="1"/>
  <c r="G16" i="6" a="1"/>
  <c r="G16" i="6" s="1"/>
  <c r="G22" i="7" a="1"/>
  <c r="G22" i="7" s="1"/>
  <c r="G17" i="7" a="1"/>
  <c r="G17" i="7" s="1"/>
  <c r="G11" i="7" a="1"/>
  <c r="G11" i="7" s="1"/>
  <c r="G5" i="7" a="1"/>
  <c r="G5" i="7" s="1"/>
  <c r="G20" i="8" a="1"/>
  <c r="G20" i="8" s="1"/>
  <c r="H16" i="8" a="1"/>
  <c r="H16" i="8" s="1"/>
  <c r="H10" i="8" a="1"/>
  <c r="H10" i="8" s="1"/>
  <c r="H8" i="8" a="1"/>
  <c r="H8" i="8" s="1"/>
  <c r="G17" i="9" a="1"/>
  <c r="G17" i="9" s="1"/>
  <c r="H10" i="9" a="1"/>
  <c r="H10" i="9" s="1"/>
  <c r="H8" i="9" a="1"/>
  <c r="H8" i="9" s="1"/>
  <c r="H8" i="10" a="1"/>
  <c r="H8" i="10" s="1"/>
  <c r="H26" i="11" a="1"/>
  <c r="H26" i="11" s="1"/>
  <c r="H24" i="11" a="1"/>
  <c r="H24" i="11" s="1"/>
  <c r="G15" i="11" a="1"/>
  <c r="G15" i="11" s="1"/>
  <c r="G10" i="11" a="1"/>
  <c r="G10" i="11" s="1"/>
  <c r="H22" i="12" a="1"/>
  <c r="H22" i="12" s="1"/>
  <c r="H20" i="12" a="1"/>
  <c r="H20" i="12" s="1"/>
  <c r="G6" i="13" a="1"/>
  <c r="G6" i="13" s="1"/>
  <c r="H10" i="14" a="1"/>
  <c r="H10" i="14" s="1"/>
  <c r="G42" i="16" a="1"/>
  <c r="G42" i="16" s="1"/>
  <c r="G39" i="16" a="1"/>
  <c r="G39" i="16" s="1"/>
  <c r="G17" i="17" a="1"/>
  <c r="G17" i="17" s="1"/>
  <c r="H5" i="17" a="1"/>
  <c r="H5" i="17" s="1"/>
  <c r="G44" i="18" a="1"/>
  <c r="G44" i="18" s="1"/>
  <c r="G25" i="18" a="1"/>
  <c r="G25" i="18" s="1"/>
  <c r="H15" i="20" a="1"/>
  <c r="H15" i="20" s="1"/>
  <c r="G11" i="20" a="1"/>
  <c r="G11" i="20" s="1"/>
  <c r="H41" i="23" a="1"/>
  <c r="H41" i="23" s="1"/>
  <c r="G27" i="23" a="1"/>
  <c r="G27" i="23" s="1"/>
  <c r="G11" i="23" a="1"/>
  <c r="G11" i="23" s="1"/>
  <c r="G23" i="24" a="1"/>
  <c r="G23" i="24" s="1"/>
  <c r="G6" i="20" a="1"/>
  <c r="G6" i="20" s="1"/>
  <c r="G6" i="21" a="1"/>
  <c r="G6" i="21" s="1"/>
  <c r="G8" i="24" a="1"/>
  <c r="G8" i="24" s="1"/>
  <c r="G12" i="18" a="1"/>
  <c r="G12" i="18" s="1"/>
  <c r="H5" i="14" a="1"/>
  <c r="H5" i="14" s="1"/>
  <c r="H5" i="11" a="1"/>
  <c r="H5" i="11" s="1"/>
  <c r="H6" i="59" a="1"/>
  <c r="H6" i="59" s="1"/>
  <c r="H5" i="26" a="1"/>
  <c r="H5" i="26" s="1"/>
  <c r="H5" i="46" a="1"/>
  <c r="H5" i="46" s="1"/>
  <c r="H7" i="47" a="1"/>
  <c r="H7" i="47" s="1"/>
  <c r="H6" i="54" a="1"/>
  <c r="H6" i="54" s="1"/>
  <c r="H12" i="51" a="1"/>
  <c r="H12" i="51" s="1"/>
  <c r="G7" i="54" a="1"/>
  <c r="G7" i="54" s="1"/>
  <c r="G18" i="51" a="1"/>
  <c r="G18" i="51" s="1"/>
  <c r="H10" i="54" a="1"/>
  <c r="H10" i="54" s="1"/>
  <c r="H20" i="51" a="1"/>
  <c r="H20" i="51" s="1"/>
  <c r="H9" i="47" a="1"/>
  <c r="H9" i="47" s="1"/>
  <c r="H6" i="46" a="1"/>
  <c r="H6" i="46" s="1"/>
  <c r="H6" i="18" a="1"/>
  <c r="H6" i="18" s="1"/>
  <c r="H7" i="23" a="1"/>
  <c r="H7" i="23" s="1"/>
  <c r="G10" i="27" a="1"/>
  <c r="G10" i="27" s="1"/>
  <c r="G10" i="26" a="1"/>
  <c r="G10" i="26" s="1"/>
  <c r="G7" i="19" a="1"/>
  <c r="G7" i="19" s="1"/>
  <c r="G7" i="25" a="1"/>
  <c r="G7" i="25" s="1"/>
  <c r="G10" i="23" a="1"/>
  <c r="G10" i="23" s="1"/>
  <c r="G9" i="18" a="1"/>
  <c r="G9" i="18" s="1"/>
  <c r="G7" i="24" a="1"/>
  <c r="G7" i="24" s="1"/>
  <c r="G7" i="21" a="1"/>
  <c r="G7" i="21" s="1"/>
  <c r="H11" i="25" a="1"/>
  <c r="H11" i="25" s="1"/>
  <c r="H12" i="24" a="1"/>
  <c r="H12" i="24" s="1"/>
  <c r="H7" i="66" a="1"/>
  <c r="H7" i="66" s="1"/>
  <c r="H24" i="28" a="1"/>
  <c r="H24" i="28" s="1"/>
  <c r="H19" i="47" a="1"/>
  <c r="H19" i="47" s="1"/>
  <c r="H9" i="46" a="1"/>
  <c r="H9" i="46" s="1"/>
  <c r="G34" i="59" a="1"/>
  <c r="G34" i="59" s="1"/>
  <c r="G21" i="54" a="1"/>
  <c r="G21" i="54" s="1"/>
  <c r="G29" i="51" a="1"/>
  <c r="G29" i="51" s="1"/>
  <c r="G34" i="47" a="1"/>
  <c r="G34" i="47" s="1"/>
  <c r="H9" i="20" a="1"/>
  <c r="H9" i="20" s="1"/>
  <c r="H20" i="27" a="1"/>
  <c r="H20" i="27" s="1"/>
  <c r="G11" i="21" a="1"/>
  <c r="G11" i="21" s="1"/>
  <c r="G10" i="20" a="1"/>
  <c r="G10" i="20" s="1"/>
  <c r="G37" i="59" a="1"/>
  <c r="G37" i="59" s="1"/>
  <c r="G21" i="27" a="1"/>
  <c r="G21" i="27" s="1"/>
  <c r="G15" i="26" a="1"/>
  <c r="G15" i="26" s="1"/>
  <c r="H20" i="23" a="1"/>
  <c r="H20" i="23" s="1"/>
  <c r="H13" i="21" a="1"/>
  <c r="H13" i="21" s="1"/>
  <c r="H18" i="25" a="1"/>
  <c r="H18" i="25" s="1"/>
  <c r="H12" i="20" a="1"/>
  <c r="H12" i="20" s="1"/>
  <c r="H14" i="17" a="1"/>
  <c r="H14" i="17" s="1"/>
  <c r="H18" i="24" a="1"/>
  <c r="H18" i="24" s="1"/>
  <c r="H8" i="69" a="1"/>
  <c r="H8" i="69" s="1"/>
  <c r="H8" i="64" a="1"/>
  <c r="H8" i="64" s="1"/>
  <c r="H38" i="47" a="1"/>
  <c r="H38" i="47" s="1"/>
  <c r="H29" i="28" a="1"/>
  <c r="H29" i="28" s="1"/>
  <c r="G14" i="11" a="1"/>
  <c r="G14" i="11" s="1"/>
  <c r="G12" i="8" a="1"/>
  <c r="G12" i="8" s="1"/>
  <c r="G20" i="58" a="1"/>
  <c r="G20" i="58" s="1"/>
  <c r="G43" i="47" a="1"/>
  <c r="G43" i="47" s="1"/>
  <c r="G32" i="28" a="1"/>
  <c r="G32" i="28" s="1"/>
  <c r="G34" i="51" a="1"/>
  <c r="G34" i="51" s="1"/>
  <c r="G23" i="54" a="1"/>
  <c r="G23" i="54" s="1"/>
  <c r="G23" i="41" a="1"/>
  <c r="G23" i="41" s="1"/>
  <c r="G18" i="26" a="1"/>
  <c r="G18" i="26" s="1"/>
  <c r="G16" i="17" a="1"/>
  <c r="G16" i="17" s="1"/>
  <c r="G22" i="23" a="1"/>
  <c r="G22" i="23" s="1"/>
  <c r="G13" i="20" a="1"/>
  <c r="G13" i="20" s="1"/>
  <c r="G22" i="18" a="1"/>
  <c r="G22" i="18" s="1"/>
  <c r="H21" i="25" a="1"/>
  <c r="H21" i="25" s="1"/>
  <c r="H15" i="21" a="1"/>
  <c r="H15" i="21" s="1"/>
  <c r="H19" i="19" a="1"/>
  <c r="H19" i="19" s="1"/>
  <c r="H21" i="24" a="1"/>
  <c r="H21" i="24" s="1"/>
  <c r="H14" i="20" a="1"/>
  <c r="H14" i="20" s="1"/>
  <c r="H23" i="23" a="1"/>
  <c r="H23" i="23" s="1"/>
  <c r="H14" i="65" a="1"/>
  <c r="H14" i="65" s="1"/>
  <c r="H27" i="54" a="1"/>
  <c r="H27" i="54" s="1"/>
  <c r="H8" i="62" a="1"/>
  <c r="H8" i="62" s="1"/>
  <c r="H6" i="63" a="1"/>
  <c r="H6" i="63" s="1"/>
  <c r="H12" i="48" a="1"/>
  <c r="H12" i="48" s="1"/>
  <c r="H11" i="67" a="1"/>
  <c r="H11" i="67" s="1"/>
  <c r="H32" i="49" a="1"/>
  <c r="H32" i="49" s="1"/>
  <c r="H18" i="38" a="1"/>
  <c r="H18" i="38" s="1"/>
  <c r="G12" i="67" a="1"/>
  <c r="G12" i="67" s="1"/>
  <c r="G39" i="54" a="1"/>
  <c r="G39" i="54" s="1"/>
  <c r="H43" i="59" a="1"/>
  <c r="H43" i="59" s="1"/>
  <c r="H35" i="51" a="1"/>
  <c r="H35" i="51" s="1"/>
  <c r="H24" i="58" a="1"/>
  <c r="H24" i="58" s="1"/>
  <c r="H24" i="18" a="1"/>
  <c r="H24" i="18" s="1"/>
  <c r="G18" i="69" a="1"/>
  <c r="G18" i="69" s="1"/>
  <c r="G41" i="54" a="1"/>
  <c r="G41" i="54" s="1"/>
  <c r="H19" i="69" a="1"/>
  <c r="H19" i="69" s="1"/>
  <c r="H44" i="59" a="1"/>
  <c r="H44" i="59" s="1"/>
  <c r="H26" i="41" a="1"/>
  <c r="H26" i="41" s="1"/>
  <c r="H23" i="44" a="1"/>
  <c r="H23" i="44" s="1"/>
  <c r="G25" i="58" a="1"/>
  <c r="G25" i="58" s="1"/>
  <c r="G38" i="51" a="1"/>
  <c r="G38" i="51" s="1"/>
  <c r="G27" i="41" a="1"/>
  <c r="G27" i="41" s="1"/>
  <c r="H26" i="58" a="1"/>
  <c r="H26" i="58" s="1"/>
  <c r="H42" i="54" a="1"/>
  <c r="H42" i="54" s="1"/>
  <c r="H47" i="47" a="1"/>
  <c r="H47" i="47" s="1"/>
  <c r="H24" i="44" a="1"/>
  <c r="H24" i="44" s="1"/>
  <c r="H37" i="28" a="1"/>
  <c r="H37" i="28" s="1"/>
  <c r="H26" i="18" a="1"/>
  <c r="H26" i="18" s="1"/>
  <c r="H32" i="27" a="1"/>
  <c r="H32" i="27" s="1"/>
  <c r="G51" i="59" a="1"/>
  <c r="G51" i="59" s="1"/>
  <c r="G46" i="54" a="1"/>
  <c r="G46" i="54" s="1"/>
  <c r="G44" i="51" a="1"/>
  <c r="G44" i="51" s="1"/>
  <c r="G36" i="49" a="1"/>
  <c r="G36" i="49" s="1"/>
  <c r="G28" i="44" a="1"/>
  <c r="G28" i="44" s="1"/>
  <c r="G24" i="24" a="1"/>
  <c r="G24" i="24" s="1"/>
  <c r="G24" i="25" a="1"/>
  <c r="G24" i="25" s="1"/>
  <c r="G29" i="23" a="1"/>
  <c r="G29" i="23" s="1"/>
  <c r="H37" i="27" a="1"/>
  <c r="H37" i="27" s="1"/>
  <c r="H23" i="26" a="1"/>
  <c r="H23" i="26" s="1"/>
  <c r="H31" i="23" a="1"/>
  <c r="H31" i="23" s="1"/>
  <c r="H31" i="18" a="1"/>
  <c r="H31" i="18" s="1"/>
  <c r="G32" i="44" a="1"/>
  <c r="G32" i="44" s="1"/>
  <c r="G26" i="25" a="1"/>
  <c r="G26" i="25" s="1"/>
  <c r="G32" i="23" a="1"/>
  <c r="G32" i="23" s="1"/>
  <c r="G26" i="24" a="1"/>
  <c r="G26" i="24" s="1"/>
  <c r="G44" i="28" a="1"/>
  <c r="G44" i="28" s="1"/>
  <c r="G24" i="19" a="1"/>
  <c r="G24" i="19" s="1"/>
  <c r="G22" i="17" a="1"/>
  <c r="G22" i="17" s="1"/>
  <c r="G33" i="18" a="1"/>
  <c r="G33" i="18" s="1"/>
  <c r="H56" i="59" a="1"/>
  <c r="H56" i="59" s="1"/>
  <c r="H24" i="26" a="1"/>
  <c r="H24" i="26" s="1"/>
  <c r="H14" i="22" a="1"/>
  <c r="H14" i="22" s="1"/>
  <c r="G15" i="71" a="1"/>
  <c r="G15" i="71" s="1"/>
  <c r="G39" i="69" a="1"/>
  <c r="G39" i="69" s="1"/>
  <c r="G9" i="63" a="1"/>
  <c r="G9" i="63" s="1"/>
  <c r="G14" i="67" a="1"/>
  <c r="G14" i="67" s="1"/>
  <c r="G33" i="58" a="1"/>
  <c r="G33" i="58" s="1"/>
  <c r="G58" i="59" a="1"/>
  <c r="G58" i="59" s="1"/>
  <c r="G53" i="54" a="1"/>
  <c r="G53" i="54" s="1"/>
  <c r="G50" i="51" a="1"/>
  <c r="G50" i="51" s="1"/>
  <c r="G16" i="48" a="1"/>
  <c r="G16" i="48" s="1"/>
  <c r="G40" i="49" a="1"/>
  <c r="G40" i="49" s="1"/>
  <c r="G7" i="42" a="1"/>
  <c r="G7" i="42" s="1"/>
  <c r="G21" i="38" a="1"/>
  <c r="G21" i="38" s="1"/>
  <c r="G47" i="28" a="1"/>
  <c r="G47" i="28" s="1"/>
  <c r="G47" i="32" a="1"/>
  <c r="G47" i="32" s="1"/>
  <c r="G40" i="27" a="1"/>
  <c r="G40" i="27" s="1"/>
  <c r="H34" i="58" a="1"/>
  <c r="H34" i="58" s="1"/>
  <c r="H52" i="51" a="1"/>
  <c r="H52" i="51" s="1"/>
  <c r="H54" i="47" a="1"/>
  <c r="H54" i="47" s="1"/>
  <c r="H37" i="44" a="1"/>
  <c r="H37" i="44" s="1"/>
  <c r="H23" i="38" a="1"/>
  <c r="H23" i="38" s="1"/>
  <c r="H49" i="32" a="1"/>
  <c r="H49" i="32" s="1"/>
  <c r="H48" i="28" a="1"/>
  <c r="H48" i="28" s="1"/>
  <c r="H32" i="35" a="1"/>
  <c r="H32" i="35" s="1"/>
  <c r="H18" i="68" a="1"/>
  <c r="H18" i="68" s="1"/>
  <c r="H28" i="64" a="1"/>
  <c r="H28" i="64" s="1"/>
  <c r="H62" i="59" a="1"/>
  <c r="H62" i="59" s="1"/>
  <c r="H35" i="58" a="1"/>
  <c r="H35" i="58" s="1"/>
  <c r="H35" i="35" a="1"/>
  <c r="H35" i="35" s="1"/>
  <c r="H26" i="19" a="1"/>
  <c r="H26" i="19" s="1"/>
  <c r="H28" i="24" a="1"/>
  <c r="H28" i="24" s="1"/>
  <c r="H28" i="25" a="1"/>
  <c r="H28" i="25" s="1"/>
  <c r="G13" i="29" a="1"/>
  <c r="G13" i="29" s="1"/>
  <c r="G50" i="28" a="1"/>
  <c r="G50" i="28" s="1"/>
  <c r="H26" i="68" a="1"/>
  <c r="H26" i="68" s="1"/>
  <c r="H39" i="44" a="1"/>
  <c r="H39" i="44" s="1"/>
  <c r="H23" i="71" a="1"/>
  <c r="H23" i="71" s="1"/>
  <c r="H40" i="58" a="1"/>
  <c r="H40" i="58" s="1"/>
  <c r="H52" i="32" a="1"/>
  <c r="H52" i="32" s="1"/>
  <c r="G75" i="59" a="1"/>
  <c r="G75" i="59" s="1"/>
  <c r="G40" i="44" a="1"/>
  <c r="G40" i="44" s="1"/>
  <c r="H41" i="44" a="1"/>
  <c r="H41" i="44" s="1"/>
  <c r="H57" i="28" a="1"/>
  <c r="H57" i="28" s="1"/>
  <c r="G48" i="69" a="1"/>
  <c r="G48" i="69" s="1"/>
  <c r="G35" i="41" a="1"/>
  <c r="G35" i="41" s="1"/>
  <c r="G17" i="29" a="1"/>
  <c r="G17" i="29" s="1"/>
  <c r="G21" i="7" a="1"/>
  <c r="G21" i="7" s="1"/>
  <c r="G24" i="12" a="1"/>
  <c r="G24" i="12" s="1"/>
  <c r="G21" i="8" a="1"/>
  <c r="G21" i="8" s="1"/>
  <c r="H60" i="54" a="1"/>
  <c r="H60" i="54" s="1"/>
  <c r="H58" i="47" a="1"/>
  <c r="H58" i="47" s="1"/>
  <c r="H60" i="28" a="1"/>
  <c r="H60" i="28" s="1"/>
  <c r="H11" i="56" a="1"/>
  <c r="H11" i="56" s="1"/>
  <c r="H62" i="54" a="1"/>
  <c r="H62" i="54" s="1"/>
  <c r="H56" i="51" a="1"/>
  <c r="H56" i="51" s="1"/>
  <c r="H49" i="49" a="1"/>
  <c r="H49" i="49" s="1"/>
  <c r="G27" i="71" a="1"/>
  <c r="G27" i="71" s="1"/>
  <c r="G39" i="68" a="1"/>
  <c r="G39" i="68" s="1"/>
  <c r="G31" i="65" a="1"/>
  <c r="G31" i="65" s="1"/>
  <c r="G43" i="58" a="1"/>
  <c r="G43" i="58" s="1"/>
  <c r="G52" i="49" a="1"/>
  <c r="G52" i="49" s="1"/>
  <c r="G58" i="32" a="1"/>
  <c r="G58" i="32" s="1"/>
  <c r="H54" i="69" a="1"/>
  <c r="H54" i="69" s="1"/>
  <c r="H79" i="59" a="1"/>
  <c r="H79" i="59" s="1"/>
  <c r="H60" i="51" a="1"/>
  <c r="H60" i="51" s="1"/>
  <c r="H8" i="42" a="1"/>
  <c r="H8" i="42" s="1"/>
  <c r="H37" i="41" a="1"/>
  <c r="H37" i="41" s="1"/>
  <c r="H42" i="23" a="1"/>
  <c r="H42" i="23" s="1"/>
  <c r="G62" i="47" a="1"/>
  <c r="G62" i="47" s="1"/>
  <c r="G60" i="32" a="1"/>
  <c r="G60" i="32" s="1"/>
  <c r="H64" i="47" a="1"/>
  <c r="H64" i="47" s="1"/>
  <c r="H25" i="46" a="1"/>
  <c r="H25" i="46" s="1"/>
  <c r="H40" i="41" a="1"/>
  <c r="H40" i="41" s="1"/>
  <c r="H44" i="44" a="1"/>
  <c r="H44" i="44" s="1"/>
  <c r="H41" i="35" a="1"/>
  <c r="H41" i="35" s="1"/>
  <c r="H47" i="27" a="1"/>
  <c r="H47" i="27" s="1"/>
  <c r="H22" i="21" a="1"/>
  <c r="H22" i="21" s="1"/>
  <c r="H45" i="18" a="1"/>
  <c r="H45" i="18" s="1"/>
  <c r="G64" i="51" a="1"/>
  <c r="G64" i="51" s="1"/>
  <c r="G67" i="47" a="1"/>
  <c r="G67" i="47" s="1"/>
  <c r="G65" i="28" a="1"/>
  <c r="G65" i="28" s="1"/>
  <c r="H64" i="32" a="1"/>
  <c r="H64" i="32" s="1"/>
  <c r="H48" i="27" a="1"/>
  <c r="H48" i="27" s="1"/>
  <c r="H57" i="69" a="1"/>
  <c r="H57" i="69" s="1"/>
  <c r="H42" i="68" a="1"/>
  <c r="H42" i="68" s="1"/>
  <c r="H84" i="59" a="1"/>
  <c r="H84" i="59" s="1"/>
  <c r="H47" i="58" a="1"/>
  <c r="H47" i="58" s="1"/>
  <c r="H58" i="49" a="1"/>
  <c r="H58" i="49" s="1"/>
  <c r="H45" i="44" a="1"/>
  <c r="H45" i="44" s="1"/>
  <c r="G12" i="5" a="1"/>
  <c r="G12" i="5" s="1"/>
  <c r="G20" i="7" a="1"/>
  <c r="G20" i="7" s="1"/>
  <c r="H15" i="7" a="1"/>
  <c r="H15" i="7" s="1"/>
  <c r="G13" i="7" a="1"/>
  <c r="G13" i="7" s="1"/>
  <c r="H5" i="7" a="1"/>
  <c r="H5" i="7" s="1"/>
  <c r="H22" i="8" a="1"/>
  <c r="H22" i="8" s="1"/>
  <c r="H20" i="8" a="1"/>
  <c r="H20" i="8" s="1"/>
  <c r="H18" i="8" a="1"/>
  <c r="H18" i="8" s="1"/>
  <c r="H14" i="8" a="1"/>
  <c r="H14" i="8" s="1"/>
  <c r="G12" i="9" a="1"/>
  <c r="G12" i="9" s="1"/>
  <c r="G11" i="10" a="1"/>
  <c r="G11" i="10" s="1"/>
  <c r="G15" i="12" a="1"/>
  <c r="G15" i="12" s="1"/>
  <c r="H13" i="12" a="1"/>
  <c r="H13" i="12" s="1"/>
  <c r="H11" i="12" a="1"/>
  <c r="H11" i="12" s="1"/>
  <c r="G6" i="12" a="1"/>
  <c r="G6" i="12" s="1"/>
  <c r="G21" i="13" a="1"/>
  <c r="G21" i="13" s="1"/>
  <c r="H11" i="13" a="1"/>
  <c r="H11" i="13" s="1"/>
  <c r="G33" i="16" a="1"/>
  <c r="G33" i="16" s="1"/>
  <c r="G30" i="16" a="1"/>
  <c r="G30" i="16" s="1"/>
  <c r="G23" i="17" a="1"/>
  <c r="G23" i="17" s="1"/>
  <c r="G7" i="17" a="1"/>
  <c r="G7" i="17" s="1"/>
  <c r="H32" i="19" a="1"/>
  <c r="H32" i="19" s="1"/>
  <c r="H29" i="19" a="1"/>
  <c r="H29" i="19" s="1"/>
  <c r="H11" i="19" a="1"/>
  <c r="H11" i="19" s="1"/>
  <c r="G19" i="20" a="1"/>
  <c r="G19" i="20" s="1"/>
  <c r="G37" i="23" a="1"/>
  <c r="G37" i="23" s="1"/>
  <c r="H27" i="24" a="1"/>
  <c r="H27" i="24" s="1"/>
</calcChain>
</file>

<file path=xl/sharedStrings.xml><?xml version="1.0" encoding="utf-8"?>
<sst xmlns="http://schemas.openxmlformats.org/spreadsheetml/2006/main" count="6244" uniqueCount="1389">
  <si>
    <t>50C-10-V001A</t>
  </si>
  <si>
    <t>50C-10-V001</t>
  </si>
  <si>
    <t>CONIPAK 3000 — Section Index</t>
  </si>
  <si>
    <t>No.</t>
  </si>
  <si>
    <t>Kit telaio RG50 conipak no CAPPA A FLUSSO</t>
  </si>
  <si>
    <t>Part Code</t>
  </si>
  <si>
    <t>Part/Assembly Code</t>
  </si>
  <si>
    <t>Assieme telaio RG50 conipak</t>
  </si>
  <si>
    <t>Section / Drawing Title</t>
  </si>
  <si>
    <t>Denomination (IT)</t>
  </si>
  <si>
    <t>Description (EN)</t>
  </si>
  <si>
    <t>Stock On Hand</t>
  </si>
  <si>
    <t>Manual Item</t>
  </si>
  <si>
    <t>Purchase Qty</t>
  </si>
  <si>
    <t>Status</t>
  </si>
  <si>
    <t>Manual Qty</t>
  </si>
  <si>
    <t>TUBO-22</t>
  </si>
  <si>
    <t>TUBO</t>
  </si>
  <si>
    <t>PIPE</t>
  </si>
  <si>
    <t>21-10-17</t>
  </si>
  <si>
    <t>TBL(+)6X12</t>
  </si>
  <si>
    <t>VITE</t>
  </si>
  <si>
    <t>PIATTO</t>
  </si>
  <si>
    <t>SCREW</t>
  </si>
  <si>
    <t>PLATE</t>
  </si>
  <si>
    <t>50C-10-V001B</t>
  </si>
  <si>
    <t>Kit telaio RG50 no SCA conipak</t>
  </si>
  <si>
    <t>TSVEI3X8</t>
  </si>
  <si>
    <t>50C-11-V001</t>
  </si>
  <si>
    <t>R6</t>
  </si>
  <si>
    <t>Assieme sportelli +SCA conipak</t>
  </si>
  <si>
    <t>RONDELLA</t>
  </si>
  <si>
    <t>WASHER</t>
  </si>
  <si>
    <t>TE8X30</t>
  </si>
  <si>
    <t>50C-11-01</t>
  </si>
  <si>
    <t>Sportello con griglia laterale SX L=300 h=550</t>
  </si>
  <si>
    <t>21-130-17</t>
  </si>
  <si>
    <t>DEFLETTORE</t>
  </si>
  <si>
    <t>DEFLECTOR</t>
  </si>
  <si>
    <t>50C-11-02</t>
  </si>
  <si>
    <t>TE8X25</t>
  </si>
  <si>
    <t>Sportello con griglia laterale DX L=410 h=550</t>
  </si>
  <si>
    <t>DC6</t>
  </si>
  <si>
    <t>DADO</t>
  </si>
  <si>
    <t>NUT</t>
  </si>
  <si>
    <t>50C-11-03</t>
  </si>
  <si>
    <t>TE6X40</t>
  </si>
  <si>
    <t>Sportello laterale con griglia SX L=875 h=1045</t>
  </si>
  <si>
    <t>50C-11-04</t>
  </si>
  <si>
    <t>Sportello laterale con griglia DX L=875 h=1045</t>
  </si>
  <si>
    <t>21-22-16</t>
  </si>
  <si>
    <t>CAMMA</t>
  </si>
  <si>
    <t>TE6X35</t>
  </si>
  <si>
    <t>CAM</t>
  </si>
  <si>
    <t>50C-10-04</t>
  </si>
  <si>
    <t>COFANO</t>
  </si>
  <si>
    <t>COVER</t>
  </si>
  <si>
    <t>50C-11-05</t>
  </si>
  <si>
    <t>Sportello uscita con griglia SX L=345 h=810</t>
  </si>
  <si>
    <t>50C-11-06</t>
  </si>
  <si>
    <t>Sportello uscita con griglia DX L=345 h=810</t>
  </si>
  <si>
    <t>TE6X20</t>
  </si>
  <si>
    <t>250-10-144</t>
  </si>
  <si>
    <t>CERNIERA</t>
  </si>
  <si>
    <t>50C-10-03</t>
  </si>
  <si>
    <t>HINGE</t>
  </si>
  <si>
    <t>50C-11-07</t>
  </si>
  <si>
    <t>Sportello laterale con griglia SX L=475 h=1045</t>
  </si>
  <si>
    <t>TE6X14</t>
  </si>
  <si>
    <t>50C-11-08</t>
  </si>
  <si>
    <t>Sportello laterale con griglia DX L=475 h=1045</t>
  </si>
  <si>
    <t>250-10-19</t>
  </si>
  <si>
    <t>TAPPO</t>
  </si>
  <si>
    <t>CAP</t>
  </si>
  <si>
    <t>50-15-V002</t>
  </si>
  <si>
    <t>TE6X10</t>
  </si>
  <si>
    <t>Assieme micro sportelli RG50</t>
  </si>
  <si>
    <t>50-20-V038</t>
  </si>
  <si>
    <t>Assieme generale bracci RG50</t>
  </si>
  <si>
    <t>250-10-21</t>
  </si>
  <si>
    <t>TE5X10</t>
  </si>
  <si>
    <t>SUPPORTO</t>
  </si>
  <si>
    <t>SUPPORT</t>
  </si>
  <si>
    <t>50-20A-V004</t>
  </si>
  <si>
    <t>Assieme braccio apertura</t>
  </si>
  <si>
    <t>TCEI8X25</t>
  </si>
  <si>
    <t>50-20B-V007</t>
  </si>
  <si>
    <t>Assieme braccio spinta A-style</t>
  </si>
  <si>
    <t>50-20C-V004</t>
  </si>
  <si>
    <t>Assieme braccio riscaldatore del fondo</t>
  </si>
  <si>
    <t>250-10-28</t>
  </si>
  <si>
    <t>MORSETTO</t>
  </si>
  <si>
    <t>CLAMP</t>
  </si>
  <si>
    <t>50-20D-V007</t>
  </si>
  <si>
    <t>Assieme braccio prepiega fondo piegatori A-Style</t>
  </si>
  <si>
    <t>TCEI6X20</t>
  </si>
  <si>
    <t>50-20E-V007</t>
  </si>
  <si>
    <t>Assieme braccio prepiega fondo alette A-Style</t>
  </si>
  <si>
    <t>50-20F-V003</t>
  </si>
  <si>
    <t>Assieme braccio pressa fondo</t>
  </si>
  <si>
    <t>TC(+)4X20</t>
  </si>
  <si>
    <t>250-10-36</t>
  </si>
  <si>
    <t>PIASTRA</t>
  </si>
  <si>
    <t>50-20G-V006</t>
  </si>
  <si>
    <t>Assieme braccio trasferimento</t>
  </si>
  <si>
    <t>50-20H-V006</t>
  </si>
  <si>
    <t>Assieme braccio prepiega tetto con cilindro</t>
  </si>
  <si>
    <t>TC(+)4X12</t>
  </si>
  <si>
    <t>50-20M-V007</t>
  </si>
  <si>
    <t>Assieme braccio riscaldatore del tetto</t>
  </si>
  <si>
    <t>50-20N-V012</t>
  </si>
  <si>
    <t>250-10-37</t>
  </si>
  <si>
    <t>Assieme braccio pressa del tetto standard</t>
  </si>
  <si>
    <t>50C-20L-V001</t>
  </si>
  <si>
    <t>Assieme braccio dosatore conipak 1lt - 1.25 lt</t>
  </si>
  <si>
    <t>50-30-V010</t>
  </si>
  <si>
    <t>Assieme giostra RG50</t>
  </si>
  <si>
    <t>SCA-276</t>
  </si>
  <si>
    <t>GRAFFETTA</t>
  </si>
  <si>
    <t>CLIP</t>
  </si>
  <si>
    <t>50C-30-V001A</t>
  </si>
  <si>
    <t>Kit giostra mandrini A-Style conipak</t>
  </si>
  <si>
    <t>250-10-38</t>
  </si>
  <si>
    <t>BLOCCO</t>
  </si>
  <si>
    <t>50C-30-V001B</t>
  </si>
  <si>
    <t>Kit dima mandrino conipak 1 Lt</t>
  </si>
  <si>
    <t>LOCK</t>
  </si>
  <si>
    <t>RAC-15</t>
  </si>
  <si>
    <t>50C-30-V001C</t>
  </si>
  <si>
    <t>Kit dima mandrino conipak 1.25 Lt</t>
  </si>
  <si>
    <t>50C-40-V001</t>
  </si>
  <si>
    <t>Assieme magazzino conipak</t>
  </si>
  <si>
    <t>RAC-14</t>
  </si>
  <si>
    <t>50-40-V001A</t>
  </si>
  <si>
    <t>Kit magazzino</t>
  </si>
  <si>
    <t>250-10-39</t>
  </si>
  <si>
    <t>50C-40-V001A</t>
  </si>
  <si>
    <t>Kit magazzino conipak</t>
  </si>
  <si>
    <t>PERNO</t>
  </si>
  <si>
    <t>PIN</t>
  </si>
  <si>
    <t>RAC-05</t>
  </si>
  <si>
    <t>MANICOTTO</t>
  </si>
  <si>
    <t>SLEEVE</t>
  </si>
  <si>
    <t>50C-50-V001</t>
  </si>
  <si>
    <t>Assieme formatore A-Style conipak</t>
  </si>
  <si>
    <t>50-50-V001F</t>
  </si>
  <si>
    <t>Kit A-Style/B-Style REX no J-Bottom</t>
  </si>
  <si>
    <t>RAC-04</t>
  </si>
  <si>
    <t>50C-50-V001A</t>
  </si>
  <si>
    <t>Kit formatore A-Style conipak</t>
  </si>
  <si>
    <t>250-10-40</t>
  </si>
  <si>
    <t>50-55-V001</t>
  </si>
  <si>
    <t>Assieme pompa del vuoto</t>
  </si>
  <si>
    <t>PROLUNGA</t>
  </si>
  <si>
    <t>EXTENSION</t>
  </si>
  <si>
    <t>50-60-V010</t>
  </si>
  <si>
    <t>Assieme riscaldatore del fondo</t>
  </si>
  <si>
    <t>R8</t>
  </si>
  <si>
    <t>50C-60-V001A</t>
  </si>
  <si>
    <t>Kit riscaldatore del fondo conipak</t>
  </si>
  <si>
    <t>50-70-V014</t>
  </si>
  <si>
    <t>Assieme prepiega fondo A-style</t>
  </si>
  <si>
    <t>250-10-41</t>
  </si>
  <si>
    <t>50-70-V001A</t>
  </si>
  <si>
    <t>R6X18</t>
  </si>
  <si>
    <t>Kit prepiega fondo A-style</t>
  </si>
  <si>
    <t>50-70-V001C</t>
  </si>
  <si>
    <t>Kit NO J-Bottom A-style</t>
  </si>
  <si>
    <t>50-80-V018</t>
  </si>
  <si>
    <t>Assieme pressa del fondo (generica)</t>
  </si>
  <si>
    <t>250-10-42</t>
  </si>
  <si>
    <t>50C-80-V001A</t>
  </si>
  <si>
    <t>Kit pressa del fondo conipak</t>
  </si>
  <si>
    <t>R5X15</t>
  </si>
  <si>
    <t>50C-90-V001</t>
  </si>
  <si>
    <t>0.5X45° Assieme catena di trasporto conipak</t>
  </si>
  <si>
    <t>OR3.53</t>
  </si>
  <si>
    <t>O-Ring</t>
  </si>
  <si>
    <t>50C-91-V001</t>
  </si>
  <si>
    <t>Assieme trazione catena conipak</t>
  </si>
  <si>
    <t>R4</t>
  </si>
  <si>
    <t>250-10-43</t>
  </si>
  <si>
    <t>50-91-V001C</t>
  </si>
  <si>
    <t>Kit trasmissione GIUNTO</t>
  </si>
  <si>
    <t>GRW6</t>
  </si>
  <si>
    <t>50C-100-V001</t>
  </si>
  <si>
    <t>R14</t>
  </si>
  <si>
    <t>Assieme barra del fondo conipak</t>
  </si>
  <si>
    <t>50C-100-V001A</t>
  </si>
  <si>
    <t>Kit barra del fondo conipak</t>
  </si>
  <si>
    <t>D6</t>
  </si>
  <si>
    <t>250-10-44</t>
  </si>
  <si>
    <t>ASTA</t>
  </si>
  <si>
    <t>ROD</t>
  </si>
  <si>
    <t>R10</t>
  </si>
  <si>
    <t>50C-110-V001</t>
  </si>
  <si>
    <t>Assieme prepiega del tetto conipak</t>
  </si>
  <si>
    <t>50C-110-V001A</t>
  </si>
  <si>
    <t>Kit prepiega del tetto conipak</t>
  </si>
  <si>
    <t>50C-10-06</t>
  </si>
  <si>
    <t>50C-120-V001</t>
  </si>
  <si>
    <t>GRW8</t>
  </si>
  <si>
    <t>Assieme dosatore conipak (speciale con vasca grande)</t>
  </si>
  <si>
    <t>250-10-52</t>
  </si>
  <si>
    <t>50C-130-V001</t>
  </si>
  <si>
    <t>Assieme riscaldatore tetto RG50 conipak</t>
  </si>
  <si>
    <t>50-10-29</t>
  </si>
  <si>
    <t>50C-130-V001B</t>
  </si>
  <si>
    <t>Kit riscaldatore del tetto conipak SCA</t>
  </si>
  <si>
    <t>250-130-12</t>
  </si>
  <si>
    <t>50-10-158</t>
  </si>
  <si>
    <t>50C-130-V001C</t>
  </si>
  <si>
    <t>BRACCIO</t>
  </si>
  <si>
    <t>Kit soffiatori riscaldatore del tetto conipak NO SCA</t>
  </si>
  <si>
    <t>ARM</t>
  </si>
  <si>
    <t>GRP6X10</t>
  </si>
  <si>
    <t>50-130-V001D</t>
  </si>
  <si>
    <t>GRANO</t>
  </si>
  <si>
    <t>SET-SCREW</t>
  </si>
  <si>
    <t>Kit riscaldatore del tetto 1lt SCA NO UCS</t>
  </si>
  <si>
    <t>50C-132-V001</t>
  </si>
  <si>
    <t>Assieme piegatore del tetto conipak</t>
  </si>
  <si>
    <t>50C-140-V001</t>
  </si>
  <si>
    <t>250-140-17</t>
  </si>
  <si>
    <t>Assieme presse del tetto RG50 conipak</t>
  </si>
  <si>
    <t>SNODO</t>
  </si>
  <si>
    <t>ROD END</t>
  </si>
  <si>
    <t>50C-140-V001B</t>
  </si>
  <si>
    <t>Kit ganasce conipak NO SCA</t>
  </si>
  <si>
    <t>50-140-V001G</t>
  </si>
  <si>
    <t>Kit pressa del tetto DIAMOND h15</t>
  </si>
  <si>
    <t>50C-150-V001</t>
  </si>
  <si>
    <t>Programmatore a camme conipak</t>
  </si>
  <si>
    <t>250-140-19</t>
  </si>
  <si>
    <t>D4</t>
  </si>
  <si>
    <t>50C-150-V001B</t>
  </si>
  <si>
    <t>Kit camme fase datario</t>
  </si>
  <si>
    <t>50C-210-V001</t>
  </si>
  <si>
    <t>C8-070</t>
  </si>
  <si>
    <t>CHIUSURA</t>
  </si>
  <si>
    <t>Assieme impianto pneumatico conipak</t>
  </si>
  <si>
    <t>SIDEBURNS</t>
  </si>
  <si>
    <t>250-140-22</t>
  </si>
  <si>
    <t>50C-220-V001</t>
  </si>
  <si>
    <t>Assieme impianto elettrico (cavi+scatole) CONIPAK 3000</t>
  </si>
  <si>
    <t>C8-065</t>
  </si>
  <si>
    <t>EC-220-V004</t>
  </si>
  <si>
    <t>Scatola 1 RG</t>
  </si>
  <si>
    <t>50-230-V007</t>
  </si>
  <si>
    <t>250-140-23</t>
  </si>
  <si>
    <t>0..5x45° Assieme gruppo soffiante RG50</t>
  </si>
  <si>
    <t>50-240-V007</t>
  </si>
  <si>
    <t>C8-060</t>
  </si>
  <si>
    <t>Impianto raffreddamento no elettrovalvola</t>
  </si>
  <si>
    <t>CHIAVE</t>
  </si>
  <si>
    <t>LOCKING SCREW</t>
  </si>
  <si>
    <t>GS2-V029</t>
  </si>
  <si>
    <t>Datario GS2 per RG50 RG50UCS 18 caratteri</t>
  </si>
  <si>
    <t>C8-039</t>
  </si>
  <si>
    <t>SERRATURA</t>
  </si>
  <si>
    <t>GS2-V001A</t>
  </si>
  <si>
    <t>Kit datario SCA</t>
  </si>
  <si>
    <t>250-160-42</t>
  </si>
  <si>
    <t>LUB50-V008</t>
  </si>
  <si>
    <t>Impianto lubrificazione RG50</t>
  </si>
  <si>
    <t>C8-020</t>
  </si>
  <si>
    <t>MANIGLIA</t>
  </si>
  <si>
    <t>HANDLE</t>
  </si>
  <si>
    <t>C8-002</t>
  </si>
  <si>
    <t>POMELLO</t>
  </si>
  <si>
    <t>KNOB</t>
  </si>
  <si>
    <t>250-170-18</t>
  </si>
  <si>
    <t>STAFFA</t>
  </si>
  <si>
    <t>BRACKET</t>
  </si>
  <si>
    <t>C15-195</t>
  </si>
  <si>
    <t>RIVETTO</t>
  </si>
  <si>
    <t>RIVET</t>
  </si>
  <si>
    <t>C14-167</t>
  </si>
  <si>
    <t>ETICHETTA</t>
  </si>
  <si>
    <t>ETIQUETTE</t>
  </si>
  <si>
    <t>250-170-19</t>
  </si>
  <si>
    <t>C14-166</t>
  </si>
  <si>
    <t>C14-165</t>
  </si>
  <si>
    <t>C14-028</t>
  </si>
  <si>
    <t>250-170-20</t>
  </si>
  <si>
    <t>C14-018</t>
  </si>
  <si>
    <t>C14-007</t>
  </si>
  <si>
    <t>C14-005</t>
  </si>
  <si>
    <t>250-181-09</t>
  </si>
  <si>
    <t>C13-034</t>
  </si>
  <si>
    <t>GUARNIZIONE</t>
  </si>
  <si>
    <t>GASKET</t>
  </si>
  <si>
    <t>C10-004</t>
  </si>
  <si>
    <t>PIEDE</t>
  </si>
  <si>
    <t>FOOT</t>
  </si>
  <si>
    <t>50U-10-23</t>
  </si>
  <si>
    <t>BASAMENTO</t>
  </si>
  <si>
    <t>BASE</t>
  </si>
  <si>
    <t>250-20-58</t>
  </si>
  <si>
    <t>TIRANTE</t>
  </si>
  <si>
    <t>TIE-ROD</t>
  </si>
  <si>
    <t>TE6X12</t>
  </si>
  <si>
    <t>50U-10-22</t>
  </si>
  <si>
    <t>CARTER</t>
  </si>
  <si>
    <t>GUARD</t>
  </si>
  <si>
    <t>250-22-28</t>
  </si>
  <si>
    <t>50C-10-05</t>
  </si>
  <si>
    <t>50C-10-01</t>
  </si>
  <si>
    <t>TELAIO</t>
  </si>
  <si>
    <t>FRAME</t>
  </si>
  <si>
    <t>50U-11-79</t>
  </si>
  <si>
    <t>BATTENTE</t>
  </si>
  <si>
    <t>250-22-29</t>
  </si>
  <si>
    <t>SHUTTER</t>
  </si>
  <si>
    <t>TE4X10</t>
  </si>
  <si>
    <t>50-10-84</t>
  </si>
  <si>
    <t>MAGAZZINO</t>
  </si>
  <si>
    <t>MAGAZINE</t>
  </si>
  <si>
    <t>50-10-83</t>
  </si>
  <si>
    <t>PLEXIGLASS</t>
  </si>
  <si>
    <t>50C-11-21</t>
  </si>
  <si>
    <t>SPORTELLO</t>
  </si>
  <si>
    <t>GATE</t>
  </si>
  <si>
    <t>TCEI6X30</t>
  </si>
  <si>
    <t>250-22-31</t>
  </si>
  <si>
    <t>50-10-55</t>
  </si>
  <si>
    <t>50C-11-20</t>
  </si>
  <si>
    <t>50-10-36</t>
  </si>
  <si>
    <t>RACCORDO</t>
  </si>
  <si>
    <t>FITTING</t>
  </si>
  <si>
    <t>250-22-33</t>
  </si>
  <si>
    <t>50-10-30</t>
  </si>
  <si>
    <t>NIPPLO</t>
  </si>
  <si>
    <t>ADAPTOR SOCKET</t>
  </si>
  <si>
    <t>TCEI6X25</t>
  </si>
  <si>
    <t>250-22-34</t>
  </si>
  <si>
    <t>50-10-25</t>
  </si>
  <si>
    <t>TCEI6X14</t>
  </si>
  <si>
    <t>50-10-24</t>
  </si>
  <si>
    <t>250-22-36</t>
  </si>
  <si>
    <t>50-10-163</t>
  </si>
  <si>
    <t>50-10-156</t>
  </si>
  <si>
    <t>GRIGLIA</t>
  </si>
  <si>
    <t>GRID</t>
  </si>
  <si>
    <t>250-22-38</t>
  </si>
  <si>
    <t>50-10-155</t>
  </si>
  <si>
    <t>50-10-150</t>
  </si>
  <si>
    <t>250-22-40</t>
  </si>
  <si>
    <t>L8-11-97</t>
  </si>
  <si>
    <t>GUIDA</t>
  </si>
  <si>
    <t>GUIDE</t>
  </si>
  <si>
    <t>50-10-123</t>
  </si>
  <si>
    <t>BLOCCHETTO</t>
  </si>
  <si>
    <t>BLOCK</t>
  </si>
  <si>
    <t>L8-11-93</t>
  </si>
  <si>
    <t>50-10-113</t>
  </si>
  <si>
    <t>250-52-34</t>
  </si>
  <si>
    <t>50-10-112</t>
  </si>
  <si>
    <t>C8-011</t>
  </si>
  <si>
    <t>CARIGLIONE</t>
  </si>
  <si>
    <t>CREMONE LEVER</t>
  </si>
  <si>
    <t>50-10-111</t>
  </si>
  <si>
    <t>250-61-01</t>
  </si>
  <si>
    <t>TUBO RESISTENZA</t>
  </si>
  <si>
    <t>C8-009</t>
  </si>
  <si>
    <t>C8-004</t>
  </si>
  <si>
    <t>C13-108</t>
  </si>
  <si>
    <t>250-61-02</t>
  </si>
  <si>
    <t>50C-11-19</t>
  </si>
  <si>
    <t>250-61-06</t>
  </si>
  <si>
    <t>50C-11-18</t>
  </si>
  <si>
    <t>250-61-08/1</t>
  </si>
  <si>
    <t>50C-11-17</t>
  </si>
  <si>
    <t>LAMIERA</t>
  </si>
  <si>
    <t>SHEET</t>
  </si>
  <si>
    <t>50C-11-16</t>
  </si>
  <si>
    <t>250-90-03</t>
  </si>
  <si>
    <t>INGRANAGGIO</t>
  </si>
  <si>
    <t>GEAR</t>
  </si>
  <si>
    <t>50-11-11</t>
  </si>
  <si>
    <t>FERMO</t>
  </si>
  <si>
    <t>250-90-08</t>
  </si>
  <si>
    <t>R5</t>
  </si>
  <si>
    <t>250-90-20/1</t>
  </si>
  <si>
    <t>ATTACCO</t>
  </si>
  <si>
    <t>CONNECTION</t>
  </si>
  <si>
    <t>DC5</t>
  </si>
  <si>
    <t>250-90-22</t>
  </si>
  <si>
    <t>250-90-23</t>
  </si>
  <si>
    <t>250-90-24</t>
  </si>
  <si>
    <t>50U-11-54</t>
  </si>
  <si>
    <t>250/2-130-18</t>
  </si>
  <si>
    <t>50C-11-15</t>
  </si>
  <si>
    <t>250/2-20-50</t>
  </si>
  <si>
    <t>250/2U-130-07</t>
  </si>
  <si>
    <t>250M-30-01</t>
  </si>
  <si>
    <t>MANDRINO</t>
  </si>
  <si>
    <t>MANDREL</t>
  </si>
  <si>
    <t>450-90-10</t>
  </si>
  <si>
    <t>DISTANZIALE</t>
  </si>
  <si>
    <t>SPACER</t>
  </si>
  <si>
    <t>450M-130-23</t>
  </si>
  <si>
    <t>50-10-01-7/8</t>
  </si>
  <si>
    <t>50-10-10</t>
  </si>
  <si>
    <t>50C-11-10</t>
  </si>
  <si>
    <t>50-10-115</t>
  </si>
  <si>
    <t>50-10-12</t>
  </si>
  <si>
    <t>PRIGIONIERO</t>
  </si>
  <si>
    <t>STUD</t>
  </si>
  <si>
    <t>50U-11-50</t>
  </si>
  <si>
    <t>50-10-13</t>
  </si>
  <si>
    <t>50U-11-81</t>
  </si>
  <si>
    <t>50-10-138</t>
  </si>
  <si>
    <t>50C-11-09</t>
  </si>
  <si>
    <t>50U-11-69</t>
  </si>
  <si>
    <t>50-10-139</t>
  </si>
  <si>
    <t>50C-11-11</t>
  </si>
  <si>
    <t>50-11-12</t>
  </si>
  <si>
    <t>50-10-143</t>
  </si>
  <si>
    <t>50-10-151</t>
  </si>
  <si>
    <t>MANIFOLD</t>
  </si>
  <si>
    <t>50-10-16</t>
  </si>
  <si>
    <t>50-10-177</t>
  </si>
  <si>
    <t>50C-11-14</t>
  </si>
  <si>
    <t>50C-11-13</t>
  </si>
  <si>
    <t>50-10-38</t>
  </si>
  <si>
    <t>50-10-42</t>
  </si>
  <si>
    <t>50-10-45</t>
  </si>
  <si>
    <t>50-10-46</t>
  </si>
  <si>
    <t>50C-11-12</t>
  </si>
  <si>
    <t>50-10-47</t>
  </si>
  <si>
    <t>50-11-13</t>
  </si>
  <si>
    <t>50-10-81</t>
  </si>
  <si>
    <t>DISTRIBUTORE</t>
  </si>
  <si>
    <t>DISTRIBUTOR</t>
  </si>
  <si>
    <t>TUBO-10</t>
  </si>
  <si>
    <t>EC-845</t>
  </si>
  <si>
    <t>SENSORE</t>
  </si>
  <si>
    <t>SENSOR</t>
  </si>
  <si>
    <t>TE12X50</t>
  </si>
  <si>
    <t>TE12X40</t>
  </si>
  <si>
    <t>TE12X30</t>
  </si>
  <si>
    <t>50-10-88</t>
  </si>
  <si>
    <t>TE10X35</t>
  </si>
  <si>
    <t>TE10X25</t>
  </si>
  <si>
    <t>TCEI10X40</t>
  </si>
  <si>
    <t>50-10-89</t>
  </si>
  <si>
    <t>SPN8X26</t>
  </si>
  <si>
    <t>SPINA</t>
  </si>
  <si>
    <t>50-10-91</t>
  </si>
  <si>
    <t>R12X36</t>
  </si>
  <si>
    <t>R12</t>
  </si>
  <si>
    <t>50-100-02</t>
  </si>
  <si>
    <t>R10X30</t>
  </si>
  <si>
    <t>50-100-03/1</t>
  </si>
  <si>
    <t>LUB-09</t>
  </si>
  <si>
    <t>PIPE FITTING</t>
  </si>
  <si>
    <t>50-100-04</t>
  </si>
  <si>
    <t>GRW12</t>
  </si>
  <si>
    <t>GRW10</t>
  </si>
  <si>
    <t>TE8X60</t>
  </si>
  <si>
    <t>50-100-05</t>
  </si>
  <si>
    <t>CHIOCCIOLA</t>
  </si>
  <si>
    <t>LOCK-NUT</t>
  </si>
  <si>
    <t>TE12X80</t>
  </si>
  <si>
    <t>GRN10X16</t>
  </si>
  <si>
    <t>50-100-06</t>
  </si>
  <si>
    <t>SLEEEVE</t>
  </si>
  <si>
    <t>EC-CV070</t>
  </si>
  <si>
    <t>CAVO</t>
  </si>
  <si>
    <t>CABLE</t>
  </si>
  <si>
    <t>TCEI8X30</t>
  </si>
  <si>
    <t>50-100-07</t>
  </si>
  <si>
    <t>EC-1587</t>
  </si>
  <si>
    <t>PRESSACAVO</t>
  </si>
  <si>
    <t>CABLE HOLDER</t>
  </si>
  <si>
    <t>ALBERO</t>
  </si>
  <si>
    <t>SHART</t>
  </si>
  <si>
    <t>D12</t>
  </si>
  <si>
    <t>CH14-9-80</t>
  </si>
  <si>
    <t>CHIAVETTA</t>
  </si>
  <si>
    <t>50-100-11</t>
  </si>
  <si>
    <t>KEY</t>
  </si>
  <si>
    <t>LUB-11</t>
  </si>
  <si>
    <t>CH14-9-120</t>
  </si>
  <si>
    <t>CH14-9-100</t>
  </si>
  <si>
    <t>50-100-12</t>
  </si>
  <si>
    <t>LUB-10</t>
  </si>
  <si>
    <t>INDICATORE</t>
  </si>
  <si>
    <t>INDICATOR</t>
  </si>
  <si>
    <t>TE8X50</t>
  </si>
  <si>
    <t>CH10-8-50</t>
  </si>
  <si>
    <t>C5-107</t>
  </si>
  <si>
    <t>GRN8X15</t>
  </si>
  <si>
    <t>50-100-14</t>
  </si>
  <si>
    <t>C1-060</t>
  </si>
  <si>
    <t>MOTORE</t>
  </si>
  <si>
    <t>MOTOR</t>
  </si>
  <si>
    <t>C1-011</t>
  </si>
  <si>
    <t>RIDUTTORE</t>
  </si>
  <si>
    <t>GEAR-BOX</t>
  </si>
  <si>
    <t>TE6X25</t>
  </si>
  <si>
    <t>50-20-85</t>
  </si>
  <si>
    <t>DAUT18X1.5</t>
  </si>
  <si>
    <t>50-100-15</t>
  </si>
  <si>
    <t>50-20-66</t>
  </si>
  <si>
    <t>50-100-16</t>
  </si>
  <si>
    <t>D8</t>
  </si>
  <si>
    <t>50-20-65</t>
  </si>
  <si>
    <t>TE12X35</t>
  </si>
  <si>
    <t>50-100-19</t>
  </si>
  <si>
    <t>C5-040</t>
  </si>
  <si>
    <t>RULLO</t>
  </si>
  <si>
    <t>BEARING ROLLER</t>
  </si>
  <si>
    <t>TCEI8X90</t>
  </si>
  <si>
    <t>50-100-20</t>
  </si>
  <si>
    <t>C5-017</t>
  </si>
  <si>
    <t>50-100-57</t>
  </si>
  <si>
    <t>C4-033</t>
  </si>
  <si>
    <t>MOLLA</t>
  </si>
  <si>
    <t>SPRING</t>
  </si>
  <si>
    <t>BR40-50-40</t>
  </si>
  <si>
    <t>BRONZINA</t>
  </si>
  <si>
    <t>BUSHING</t>
  </si>
  <si>
    <t>50-100-59</t>
  </si>
  <si>
    <t>RAC-19</t>
  </si>
  <si>
    <t>50-22-21</t>
  </si>
  <si>
    <t>50-20-61</t>
  </si>
  <si>
    <t>50-20-56</t>
  </si>
  <si>
    <t>50-20-53</t>
  </si>
  <si>
    <t>FORCELLA</t>
  </si>
  <si>
    <t>FORK</t>
  </si>
  <si>
    <t>50-20-34</t>
  </si>
  <si>
    <t>TIRANT</t>
  </si>
  <si>
    <t>50-110-05</t>
  </si>
  <si>
    <t>50-110-07</t>
  </si>
  <si>
    <t>50-20-22</t>
  </si>
  <si>
    <t>ANELLO</t>
  </si>
  <si>
    <t>RING</t>
  </si>
  <si>
    <t>LUB-08</t>
  </si>
  <si>
    <t>50-110-13</t>
  </si>
  <si>
    <t>GL12-14-12</t>
  </si>
  <si>
    <t>BOCCOLA</t>
  </si>
  <si>
    <t>50-110-14</t>
  </si>
  <si>
    <t>DISTANZIATORE</t>
  </si>
  <si>
    <t>TUBO-51</t>
  </si>
  <si>
    <t>50-110-16</t>
  </si>
  <si>
    <t>TE8X40</t>
  </si>
  <si>
    <t>D10</t>
  </si>
  <si>
    <t>50-110-19/2</t>
  </si>
  <si>
    <t>50-110-22</t>
  </si>
  <si>
    <t>50-22-22</t>
  </si>
  <si>
    <t>RAC-91</t>
  </si>
  <si>
    <t>50-110-23</t>
  </si>
  <si>
    <t>RAC-10</t>
  </si>
  <si>
    <t>RIDUZIONE</t>
  </si>
  <si>
    <t>REDUCTION</t>
  </si>
  <si>
    <t>50-20-48</t>
  </si>
  <si>
    <t>50-110-24</t>
  </si>
  <si>
    <t>POSIZIONATORE</t>
  </si>
  <si>
    <t>POSITIONER</t>
  </si>
  <si>
    <t>50-20-43</t>
  </si>
  <si>
    <t>50-110-25</t>
  </si>
  <si>
    <t>50-20-32</t>
  </si>
  <si>
    <t>AMMORTIZZATORE</t>
  </si>
  <si>
    <t>DUMPER</t>
  </si>
  <si>
    <t>50-20-28</t>
  </si>
  <si>
    <t>50-110-26</t>
  </si>
  <si>
    <t>50-110-27</t>
  </si>
  <si>
    <t>DENTE</t>
  </si>
  <si>
    <t>TOOTH</t>
  </si>
  <si>
    <t>50-20-18</t>
  </si>
  <si>
    <t>50-20-17</t>
  </si>
  <si>
    <t>50-110-40</t>
  </si>
  <si>
    <t>50-20-16</t>
  </si>
  <si>
    <t>50-120-01</t>
  </si>
  <si>
    <t>50-20-07</t>
  </si>
  <si>
    <t>C6-081</t>
  </si>
  <si>
    <t>CILINDRO</t>
  </si>
  <si>
    <t>CYLINDER</t>
  </si>
  <si>
    <t>50-120-02</t>
  </si>
  <si>
    <t>TE8X35</t>
  </si>
  <si>
    <t>50-120-04</t>
  </si>
  <si>
    <t>PISTONE</t>
  </si>
  <si>
    <t>PISTON</t>
  </si>
  <si>
    <t>C4-032</t>
  </si>
  <si>
    <t>50-120-05</t>
  </si>
  <si>
    <t>SHAFT</t>
  </si>
  <si>
    <t>50-20-46</t>
  </si>
  <si>
    <t>50-120-12</t>
  </si>
  <si>
    <t>50-20-45</t>
  </si>
  <si>
    <t>BUSSOLA</t>
  </si>
  <si>
    <t>50-20-44</t>
  </si>
  <si>
    <t>50-120-13/1</t>
  </si>
  <si>
    <t>50-120-14</t>
  </si>
  <si>
    <t>50-20-01</t>
  </si>
  <si>
    <t>50-120-15/1</t>
  </si>
  <si>
    <t>50-120-16/1</t>
  </si>
  <si>
    <t>C5-015</t>
  </si>
  <si>
    <t>C4-031</t>
  </si>
  <si>
    <t>50-120-17</t>
  </si>
  <si>
    <t>BR40-50-50</t>
  </si>
  <si>
    <t>50-120-18</t>
  </si>
  <si>
    <t>50-20-38</t>
  </si>
  <si>
    <t>50-120-22</t>
  </si>
  <si>
    <t>50-20-02</t>
  </si>
  <si>
    <t>50-120-23</t>
  </si>
  <si>
    <t>50-120-29</t>
  </si>
  <si>
    <t>50-120-35</t>
  </si>
  <si>
    <t>TSVEI6X16</t>
  </si>
  <si>
    <t>R21X42</t>
  </si>
  <si>
    <t>50-120-42</t>
  </si>
  <si>
    <t>COPPIGLIA</t>
  </si>
  <si>
    <t>50-120-49</t>
  </si>
  <si>
    <t>GHIERA</t>
  </si>
  <si>
    <t>50-120-50</t>
  </si>
  <si>
    <t>ATTCCO</t>
  </si>
  <si>
    <t>DAUT20X1.5</t>
  </si>
  <si>
    <t>C5-041</t>
  </si>
  <si>
    <t>50-120-61</t>
  </si>
  <si>
    <t>50-20-64</t>
  </si>
  <si>
    <t>LARDONE</t>
  </si>
  <si>
    <t>GIB</t>
  </si>
  <si>
    <t>50-120-73</t>
  </si>
  <si>
    <t>50-20-04</t>
  </si>
  <si>
    <t>50-123-26</t>
  </si>
  <si>
    <t>SONDA</t>
  </si>
  <si>
    <t>FEELER</t>
  </si>
  <si>
    <t>50-20-37</t>
  </si>
  <si>
    <t>50-124-49</t>
  </si>
  <si>
    <t>50-124-50</t>
  </si>
  <si>
    <t>50-130-08</t>
  </si>
  <si>
    <t>TE6X30</t>
  </si>
  <si>
    <t>50-130-09</t>
  </si>
  <si>
    <t>TE12X60</t>
  </si>
  <si>
    <t>50-130-16</t>
  </si>
  <si>
    <t>50-130-21</t>
  </si>
  <si>
    <t>50-130-24</t>
  </si>
  <si>
    <t>50-130-25</t>
  </si>
  <si>
    <t>50-130-60</t>
  </si>
  <si>
    <t>TE12X100</t>
  </si>
  <si>
    <t>50-130-62</t>
  </si>
  <si>
    <t>50-130-63</t>
  </si>
  <si>
    <t>50-130-72</t>
  </si>
  <si>
    <t>SCATOLA</t>
  </si>
  <si>
    <t>BOX</t>
  </si>
  <si>
    <t>50-140-02A</t>
  </si>
  <si>
    <t>COLONNA</t>
  </si>
  <si>
    <t>COLUMN</t>
  </si>
  <si>
    <t>GRP8X10</t>
  </si>
  <si>
    <t>50-140-02B</t>
  </si>
  <si>
    <t>50-140-04</t>
  </si>
  <si>
    <t>50-140-05</t>
  </si>
  <si>
    <t>50-140-06</t>
  </si>
  <si>
    <t>50-140-07</t>
  </si>
  <si>
    <t>BIELLA</t>
  </si>
  <si>
    <t>CONNECTING ROD</t>
  </si>
  <si>
    <t>50-140-08</t>
  </si>
  <si>
    <t>50-140-09</t>
  </si>
  <si>
    <t>50-140-10</t>
  </si>
  <si>
    <t>50-140-100</t>
  </si>
  <si>
    <t>50-20-69</t>
  </si>
  <si>
    <t>50-140-12</t>
  </si>
  <si>
    <t>50-140-13</t>
  </si>
  <si>
    <t>50-140-14</t>
  </si>
  <si>
    <t>PATTINO</t>
  </si>
  <si>
    <t>SLIDING BLOCK</t>
  </si>
  <si>
    <t>50-20-42/1</t>
  </si>
  <si>
    <t>50-140-15</t>
  </si>
  <si>
    <t>50-20-35/1</t>
  </si>
  <si>
    <t>C6-083</t>
  </si>
  <si>
    <t>50-140-16</t>
  </si>
  <si>
    <t>50-20-63</t>
  </si>
  <si>
    <t>50-140-17</t>
  </si>
  <si>
    <t>50-20-19</t>
  </si>
  <si>
    <t>50-20-57</t>
  </si>
  <si>
    <t>50-140-22</t>
  </si>
  <si>
    <t>50-20-55</t>
  </si>
  <si>
    <t>50-140-35</t>
  </si>
  <si>
    <t>50-20-54</t>
  </si>
  <si>
    <t>TESTA</t>
  </si>
  <si>
    <t>HEAD</t>
  </si>
  <si>
    <t>50-20-05</t>
  </si>
  <si>
    <t>50-140-48</t>
  </si>
  <si>
    <t>TRAVERSA</t>
  </si>
  <si>
    <t>CROSS-BAR</t>
  </si>
  <si>
    <t>50-20-52</t>
  </si>
  <si>
    <t>50-20-51</t>
  </si>
  <si>
    <t>50-140-64</t>
  </si>
  <si>
    <t>50-140-65</t>
  </si>
  <si>
    <t>50-140-66</t>
  </si>
  <si>
    <t>50-140-86</t>
  </si>
  <si>
    <t>50-20-49</t>
  </si>
  <si>
    <t>50-20-06</t>
  </si>
  <si>
    <t>50-20-11</t>
  </si>
  <si>
    <t>TE8X70</t>
  </si>
  <si>
    <t>TSVEI4X10</t>
  </si>
  <si>
    <t>50-20-13</t>
  </si>
  <si>
    <t>TETSA</t>
  </si>
  <si>
    <t>50-20-14</t>
  </si>
  <si>
    <t>TE14X100</t>
  </si>
  <si>
    <t>50-20-15</t>
  </si>
  <si>
    <t>SLITTA</t>
  </si>
  <si>
    <t>SLIDE</t>
  </si>
  <si>
    <t>TCEI8X20</t>
  </si>
  <si>
    <t>50-20-21</t>
  </si>
  <si>
    <t>TUBO-58</t>
  </si>
  <si>
    <t>TUBO-49</t>
  </si>
  <si>
    <t>50-20-24</t>
  </si>
  <si>
    <t>ING-02</t>
  </si>
  <si>
    <t>INGRASSATORE</t>
  </si>
  <si>
    <t>GREASE NIPPLE</t>
  </si>
  <si>
    <t>TE12X90</t>
  </si>
  <si>
    <t>D20X1.5</t>
  </si>
  <si>
    <t>TE10X80</t>
  </si>
  <si>
    <t>50-20-29</t>
  </si>
  <si>
    <t>TE10X50</t>
  </si>
  <si>
    <t>TE10X30</t>
  </si>
  <si>
    <t>TCEI8X60</t>
  </si>
  <si>
    <t>C5-019</t>
  </si>
  <si>
    <t>TCEI5X25</t>
  </si>
  <si>
    <t>TCEI5X10</t>
  </si>
  <si>
    <t>TBL(+)6X25</t>
  </si>
  <si>
    <t>ROT40-50</t>
  </si>
  <si>
    <t>RAC-42</t>
  </si>
  <si>
    <t>C8-010</t>
  </si>
  <si>
    <t>VOLANTINO</t>
  </si>
  <si>
    <t>HANDWHEEL</t>
  </si>
  <si>
    <t>RAC-32</t>
  </si>
  <si>
    <t>RAC-131</t>
  </si>
  <si>
    <t>C5-020</t>
  </si>
  <si>
    <t>REGGISPINTA</t>
  </si>
  <si>
    <t>THRUST BEARING</t>
  </si>
  <si>
    <t>RAC-03</t>
  </si>
  <si>
    <t>R8X24</t>
  </si>
  <si>
    <t>50C-22-01</t>
  </si>
  <si>
    <t>50C-20-06</t>
  </si>
  <si>
    <t>50C-20-05</t>
  </si>
  <si>
    <t>50C-20-04</t>
  </si>
  <si>
    <t>50C-20-03</t>
  </si>
  <si>
    <t>50C-20-02</t>
  </si>
  <si>
    <t>OR40X50X7</t>
  </si>
  <si>
    <t>50C-20-01</t>
  </si>
  <si>
    <t>50-30-51</t>
  </si>
  <si>
    <t>DAUT12</t>
  </si>
  <si>
    <t>CH12-8-50</t>
  </si>
  <si>
    <t>C7-260</t>
  </si>
  <si>
    <t>CATENA</t>
  </si>
  <si>
    <t>CHAIN</t>
  </si>
  <si>
    <t>C7-161</t>
  </si>
  <si>
    <t>C5-101</t>
  </si>
  <si>
    <t>C3-001</t>
  </si>
  <si>
    <t>CALETTATORE</t>
  </si>
  <si>
    <t>SHRINK DISC</t>
  </si>
  <si>
    <t>50-30-46</t>
  </si>
  <si>
    <t>50-30-27</t>
  </si>
  <si>
    <t>50-30-26</t>
  </si>
  <si>
    <t>DIST.</t>
  </si>
  <si>
    <t>50-30-23</t>
  </si>
  <si>
    <t>PIGNONE</t>
  </si>
  <si>
    <t>PINION GEAR</t>
  </si>
  <si>
    <t>50-30-20</t>
  </si>
  <si>
    <t>50-30-18</t>
  </si>
  <si>
    <t>50-30-17</t>
  </si>
  <si>
    <t>50-30-16</t>
  </si>
  <si>
    <t>TENDICATENA</t>
  </si>
  <si>
    <t>TENSIONER</t>
  </si>
  <si>
    <t>50-30-15/1</t>
  </si>
  <si>
    <t>50-30-14</t>
  </si>
  <si>
    <t>50-30-13</t>
  </si>
  <si>
    <t>50C-30-01</t>
  </si>
  <si>
    <t>DIMA</t>
  </si>
  <si>
    <t>TEMPLATE</t>
  </si>
  <si>
    <t>50-30-12</t>
  </si>
  <si>
    <t>TAVOLA ROTANTE</t>
  </si>
  <si>
    <t>ROTARY TABLE</t>
  </si>
  <si>
    <t>50-30-11</t>
  </si>
  <si>
    <t>TE5X16</t>
  </si>
  <si>
    <t>50-30-10</t>
  </si>
  <si>
    <t>50-30-09</t>
  </si>
  <si>
    <t>50-30-08</t>
  </si>
  <si>
    <t>50-210-01</t>
  </si>
  <si>
    <t>TCEI5X45</t>
  </si>
  <si>
    <t>50-30-06</t>
  </si>
  <si>
    <t>50-210-04</t>
  </si>
  <si>
    <t>TCEI12X30</t>
  </si>
  <si>
    <t>50-22-20</t>
  </si>
  <si>
    <t>OR109</t>
  </si>
  <si>
    <t>GRW5</t>
  </si>
  <si>
    <t>50-220-03</t>
  </si>
  <si>
    <t>50C-30-05</t>
  </si>
  <si>
    <t>Carton stop</t>
  </si>
  <si>
    <t>50C-30-02</t>
  </si>
  <si>
    <t>50-220-06</t>
  </si>
  <si>
    <t>50C-30-04</t>
  </si>
  <si>
    <t>FONDELLO</t>
  </si>
  <si>
    <t>BOTTOM  SECTION</t>
  </si>
  <si>
    <t>50-220-07</t>
  </si>
  <si>
    <t>BARRA</t>
  </si>
  <si>
    <t>BAR</t>
  </si>
  <si>
    <t>50C-30-03</t>
  </si>
  <si>
    <t>SAGOMA</t>
  </si>
  <si>
    <t>50-220-09</t>
  </si>
  <si>
    <t>50-30-04</t>
  </si>
  <si>
    <t>50-240-01</t>
  </si>
  <si>
    <t>TSVEI6X20</t>
  </si>
  <si>
    <t>TSVEI5X16</t>
  </si>
  <si>
    <t>50-240-02</t>
  </si>
  <si>
    <t>TSVEI5X10</t>
  </si>
  <si>
    <t>50-240-03</t>
  </si>
  <si>
    <t>50-240-04</t>
  </si>
  <si>
    <t>TE8X16</t>
  </si>
  <si>
    <t>TE6X16</t>
  </si>
  <si>
    <t>50-40-20</t>
  </si>
  <si>
    <t>TCEI5X16</t>
  </si>
  <si>
    <t>TC(+)4X16</t>
  </si>
  <si>
    <t>TC(+)3x20</t>
  </si>
  <si>
    <t>R8X32</t>
  </si>
  <si>
    <t>50-40-27</t>
  </si>
  <si>
    <t>GRN8X40</t>
  </si>
  <si>
    <t>EC-282</t>
  </si>
  <si>
    <t>EC-252</t>
  </si>
  <si>
    <t>EC-228</t>
  </si>
  <si>
    <t>MICROINTERRUTTORE</t>
  </si>
  <si>
    <t>MICRO SWITCH</t>
  </si>
  <si>
    <t>TUBO-05</t>
  </si>
  <si>
    <t>EC-1602</t>
  </si>
  <si>
    <t>EC-1601</t>
  </si>
  <si>
    <t>FOTOCELLULA</t>
  </si>
  <si>
    <t>PHOTO-SWITCH</t>
  </si>
  <si>
    <t>C8-031</t>
  </si>
  <si>
    <t>MANOPOLA</t>
  </si>
  <si>
    <t>HAND GRIP</t>
  </si>
  <si>
    <t>TE8X20</t>
  </si>
  <si>
    <t>C5-065</t>
  </si>
  <si>
    <t>CURSORE</t>
  </si>
  <si>
    <t>LINEAR BEARING</t>
  </si>
  <si>
    <t>C4-015</t>
  </si>
  <si>
    <t>C4-001</t>
  </si>
  <si>
    <t>TENDITORE</t>
  </si>
  <si>
    <t>PULLER</t>
  </si>
  <si>
    <t>RAC-30</t>
  </si>
  <si>
    <t>PORTA GOMMA</t>
  </si>
  <si>
    <t>HOSE HOLDER</t>
  </si>
  <si>
    <t>50C-40-11</t>
  </si>
  <si>
    <t>TRAVERSO</t>
  </si>
  <si>
    <t>RAC-29</t>
  </si>
  <si>
    <t>50C-40-09</t>
  </si>
  <si>
    <t>50-50-07A</t>
  </si>
  <si>
    <t>DITO</t>
  </si>
  <si>
    <t>FINGER-SHAPED PUSHER</t>
  </si>
  <si>
    <t>50C-40-08</t>
  </si>
  <si>
    <t>50C-40-07</t>
  </si>
  <si>
    <t>50C-40-06</t>
  </si>
  <si>
    <t>50C-40-05</t>
  </si>
  <si>
    <t>CARRELLO</t>
  </si>
  <si>
    <t>TROLLEY</t>
  </si>
  <si>
    <t>50C-40-04</t>
  </si>
  <si>
    <t>50C-40-03</t>
  </si>
  <si>
    <t>50C-40-02</t>
  </si>
  <si>
    <t>GIUNTO</t>
  </si>
  <si>
    <t>JOINT</t>
  </si>
  <si>
    <t>50C-40-01</t>
  </si>
  <si>
    <t>50-40-39</t>
  </si>
  <si>
    <t>50-40-04</t>
  </si>
  <si>
    <t>50-40-38</t>
  </si>
  <si>
    <t>50-40-37</t>
  </si>
  <si>
    <t>50-40-06A</t>
  </si>
  <si>
    <t>EC-239</t>
  </si>
  <si>
    <t>50-40-34</t>
  </si>
  <si>
    <t>EC-213</t>
  </si>
  <si>
    <t>50-40-21</t>
  </si>
  <si>
    <t>CH8-7-35</t>
  </si>
  <si>
    <t>50-40-19</t>
  </si>
  <si>
    <t>50-40-06B</t>
  </si>
  <si>
    <t>50-40-18</t>
  </si>
  <si>
    <t>C13-096</t>
  </si>
  <si>
    <t>50-40-17</t>
  </si>
  <si>
    <t>BR30-40-50</t>
  </si>
  <si>
    <t>50-40-09</t>
  </si>
  <si>
    <t>ARRESTO POSTERIORE</t>
  </si>
  <si>
    <t>BACK STOP</t>
  </si>
  <si>
    <t>BR20-28-40</t>
  </si>
  <si>
    <t>50-40-14</t>
  </si>
  <si>
    <t>50C-50-06</t>
  </si>
  <si>
    <t>50-40-13</t>
  </si>
  <si>
    <t>50-40-10</t>
  </si>
  <si>
    <t>50C-50-05</t>
  </si>
  <si>
    <t>50C-50-04</t>
  </si>
  <si>
    <t>50-40-12</t>
  </si>
  <si>
    <t>50C-50-03</t>
  </si>
  <si>
    <t>50C-50-01</t>
  </si>
  <si>
    <t>C13-011</t>
  </si>
  <si>
    <t>VENTOSA</t>
  </si>
  <si>
    <t>SUCTION CUP</t>
  </si>
  <si>
    <t>50-50-37</t>
  </si>
  <si>
    <t>50C-50-02</t>
  </si>
  <si>
    <t>50-50-34</t>
  </si>
  <si>
    <t>50-50-23</t>
  </si>
  <si>
    <t>50-50-15</t>
  </si>
  <si>
    <t>50-50-14</t>
  </si>
  <si>
    <t>50-50-11</t>
  </si>
  <si>
    <t>50-50-09</t>
  </si>
  <si>
    <t>50-50-08</t>
  </si>
  <si>
    <t>50-50-05A</t>
  </si>
  <si>
    <t>BRACCIO ASPIRATORE</t>
  </si>
  <si>
    <t>C14-150</t>
  </si>
  <si>
    <t>TARGHETTA</t>
  </si>
  <si>
    <t>SIGN</t>
  </si>
  <si>
    <t>TCEI6X35</t>
  </si>
  <si>
    <t>50-60-33</t>
  </si>
  <si>
    <t>RAC-147</t>
  </si>
  <si>
    <t>50-60-32</t>
  </si>
  <si>
    <t>RISCALDATORE</t>
  </si>
  <si>
    <t>HEATER</t>
  </si>
  <si>
    <t>RAC-146</t>
  </si>
  <si>
    <t>50C-60-01</t>
  </si>
  <si>
    <t>SOFFIATORE</t>
  </si>
  <si>
    <t>BLOWER</t>
  </si>
  <si>
    <t>50-60-30</t>
  </si>
  <si>
    <t>RAC-145</t>
  </si>
  <si>
    <t>50-60-28</t>
  </si>
  <si>
    <t>RAC-144</t>
  </si>
  <si>
    <t>RAC-143</t>
  </si>
  <si>
    <t>CURVA</t>
  </si>
  <si>
    <t>BEND</t>
  </si>
  <si>
    <t>50-60-26</t>
  </si>
  <si>
    <t>RAC-142</t>
  </si>
  <si>
    <t>50-60-25</t>
  </si>
  <si>
    <t>RAC-141</t>
  </si>
  <si>
    <t>50-60-18</t>
  </si>
  <si>
    <t>RAC-08</t>
  </si>
  <si>
    <t>50-60-17</t>
  </si>
  <si>
    <t>50-60-12</t>
  </si>
  <si>
    <t>50-60-11</t>
  </si>
  <si>
    <t>R6X24</t>
  </si>
  <si>
    <t>50-60-10</t>
  </si>
  <si>
    <t>50-60-09</t>
  </si>
  <si>
    <t>50-60-08</t>
  </si>
  <si>
    <t>50-60-07/1</t>
  </si>
  <si>
    <t>EC-CV066</t>
  </si>
  <si>
    <t>50-60-06</t>
  </si>
  <si>
    <t>50-50-22</t>
  </si>
  <si>
    <t>EC-CV051</t>
  </si>
  <si>
    <t>50-60-02</t>
  </si>
  <si>
    <t>EC-804</t>
  </si>
  <si>
    <t>CONNETTORE</t>
  </si>
  <si>
    <t>CONNECTOR</t>
  </si>
  <si>
    <t>EC-1643</t>
  </si>
  <si>
    <t>C6-400</t>
  </si>
  <si>
    <t>FILTRO</t>
  </si>
  <si>
    <t>FILTER</t>
  </si>
  <si>
    <t>C6-380</t>
  </si>
  <si>
    <t>MANOMETRO</t>
  </si>
  <si>
    <t>MANOMETER</t>
  </si>
  <si>
    <t>50-55-01</t>
  </si>
  <si>
    <t>C6-281</t>
  </si>
  <si>
    <t>ELETTROVALVOLA</t>
  </si>
  <si>
    <t>SOLENOID VALVE</t>
  </si>
  <si>
    <t>C2-012</t>
  </si>
  <si>
    <t>POMPA</t>
  </si>
  <si>
    <t>PUMP</t>
  </si>
  <si>
    <t>C10-002</t>
  </si>
  <si>
    <t>RO15X28X2.5</t>
  </si>
  <si>
    <t>GRP6X6</t>
  </si>
  <si>
    <t>GRN6X8</t>
  </si>
  <si>
    <t>GL14-16-20</t>
  </si>
  <si>
    <t>GL14-16-15</t>
  </si>
  <si>
    <t>CH5-5-30</t>
  </si>
  <si>
    <t>CH5-5-14</t>
  </si>
  <si>
    <t>50-70-36</t>
  </si>
  <si>
    <t>PIEGATORE</t>
  </si>
  <si>
    <t>BENDER</t>
  </si>
  <si>
    <t>50-70-35D</t>
  </si>
  <si>
    <t>50-70-35C</t>
  </si>
  <si>
    <t>50-70-38</t>
  </si>
  <si>
    <t>50-70-35B</t>
  </si>
  <si>
    <t>50-70-35A</t>
  </si>
  <si>
    <t>50-70-34</t>
  </si>
  <si>
    <t>50-70-33</t>
  </si>
  <si>
    <t>50-70-32</t>
  </si>
  <si>
    <t>50-70-09</t>
  </si>
  <si>
    <t>50-70-06</t>
  </si>
  <si>
    <t>50-70-04B</t>
  </si>
  <si>
    <t>50-70-05A</t>
  </si>
  <si>
    <t>50-70-04A</t>
  </si>
  <si>
    <t>50-70-05B</t>
  </si>
  <si>
    <t>50-70-01</t>
  </si>
  <si>
    <t>50-70-03</t>
  </si>
  <si>
    <t>ALETTA</t>
  </si>
  <si>
    <t>WING</t>
  </si>
  <si>
    <t>50-70-02</t>
  </si>
  <si>
    <t>TUBO-06</t>
  </si>
  <si>
    <t>TE10X20</t>
  </si>
  <si>
    <t>TCB(+)6X12</t>
  </si>
  <si>
    <t>RAC-28</t>
  </si>
  <si>
    <t>GRN6X10</t>
  </si>
  <si>
    <t>RAC-20</t>
  </si>
  <si>
    <t>50C-80-01</t>
  </si>
  <si>
    <t>50-80-14</t>
  </si>
  <si>
    <t>INVITO</t>
  </si>
  <si>
    <t>BOARD GUIDE</t>
  </si>
  <si>
    <t>OR3137</t>
  </si>
  <si>
    <t>OR2.62</t>
  </si>
  <si>
    <t>50C-90-05</t>
  </si>
  <si>
    <t>LONGHERONE</t>
  </si>
  <si>
    <t>SIDE FRAME</t>
  </si>
  <si>
    <t>50C-90-04</t>
  </si>
  <si>
    <t>50C-90-03</t>
  </si>
  <si>
    <t>50-90-57</t>
  </si>
  <si>
    <t>50-80-01</t>
  </si>
  <si>
    <t>50-90-51B</t>
  </si>
  <si>
    <t>50-90-31B</t>
  </si>
  <si>
    <t>50-80-02</t>
  </si>
  <si>
    <t>TE8X45</t>
  </si>
  <si>
    <t>50-90-31A</t>
  </si>
  <si>
    <t>50-80-03</t>
  </si>
  <si>
    <t>D20</t>
  </si>
  <si>
    <t>50-90-30B</t>
  </si>
  <si>
    <t>C5-030</t>
  </si>
  <si>
    <t>50-90-30A</t>
  </si>
  <si>
    <t>50-80-04A</t>
  </si>
  <si>
    <t>C4-011</t>
  </si>
  <si>
    <t>50-90-30</t>
  </si>
  <si>
    <t>TE10X70</t>
  </si>
  <si>
    <t>50-90-105/1</t>
  </si>
  <si>
    <t>TE10X40</t>
  </si>
  <si>
    <t>50-80-13</t>
  </si>
  <si>
    <t>50-90-103/1</t>
  </si>
  <si>
    <t>50-80-04B</t>
  </si>
  <si>
    <t>50-80-09</t>
  </si>
  <si>
    <t>50-90-08/1</t>
  </si>
  <si>
    <t>50-80-08</t>
  </si>
  <si>
    <t>50-80-05</t>
  </si>
  <si>
    <t>PIATTINO</t>
  </si>
  <si>
    <t>FEEDING PLATE</t>
  </si>
  <si>
    <t>50-90-02/1</t>
  </si>
  <si>
    <t>TCEI10X25</t>
  </si>
  <si>
    <t>50-80-07</t>
  </si>
  <si>
    <t>50-80-06</t>
  </si>
  <si>
    <t>50-90-03</t>
  </si>
  <si>
    <t>GH-02</t>
  </si>
  <si>
    <t>50-90-04</t>
  </si>
  <si>
    <t>50-90-06</t>
  </si>
  <si>
    <t>CH8-7-60</t>
  </si>
  <si>
    <t>CH8-7-40</t>
  </si>
  <si>
    <t>50-90-10</t>
  </si>
  <si>
    <t>RALLA</t>
  </si>
  <si>
    <t>PIVOT BEARING</t>
  </si>
  <si>
    <t>50-90-100</t>
  </si>
  <si>
    <t>EC-256</t>
  </si>
  <si>
    <t>50-90-101</t>
  </si>
  <si>
    <t>EC-1595</t>
  </si>
  <si>
    <t>CH8-7-50</t>
  </si>
  <si>
    <t>50-90-102/1</t>
  </si>
  <si>
    <t>C3-009</t>
  </si>
  <si>
    <t>CH8-7-28</t>
  </si>
  <si>
    <t>50-90-104/1</t>
  </si>
  <si>
    <t>C7-261</t>
  </si>
  <si>
    <t>TSVEI6X10</t>
  </si>
  <si>
    <t>C5-013</t>
  </si>
  <si>
    <t>C5-001</t>
  </si>
  <si>
    <t>50-90-11</t>
  </si>
  <si>
    <t>C1-135</t>
  </si>
  <si>
    <t>INTERMITTORE</t>
  </si>
  <si>
    <t>CHAIN INDEXER</t>
  </si>
  <si>
    <t>50-90-12/1</t>
  </si>
  <si>
    <t>BR30-40-40</t>
  </si>
  <si>
    <t>PINION</t>
  </si>
  <si>
    <t>BR30-40-28</t>
  </si>
  <si>
    <t>50-90-15</t>
  </si>
  <si>
    <t>50/2-90-09</t>
  </si>
  <si>
    <t>50/2-90-07</t>
  </si>
  <si>
    <t>50/2-90-01</t>
  </si>
  <si>
    <t>50-91-01</t>
  </si>
  <si>
    <t>50-90-98</t>
  </si>
  <si>
    <t>RAC-27</t>
  </si>
  <si>
    <t>50-90-54</t>
  </si>
  <si>
    <t>50C-100-02</t>
  </si>
  <si>
    <t>50-90-53</t>
  </si>
  <si>
    <t>50-90-34</t>
  </si>
  <si>
    <t>50C-100-01</t>
  </si>
  <si>
    <t>RIFERIMENTO</t>
  </si>
  <si>
    <t>REFERENCE</t>
  </si>
  <si>
    <t>50-90-52</t>
  </si>
  <si>
    <t>OR3350</t>
  </si>
  <si>
    <t>GRN6X6</t>
  </si>
  <si>
    <t>50/2-110-31</t>
  </si>
  <si>
    <t>CH3-3-15</t>
  </si>
  <si>
    <t>C13-061</t>
  </si>
  <si>
    <t>C13-056</t>
  </si>
  <si>
    <t>C1-055</t>
  </si>
  <si>
    <t>C1-003</t>
  </si>
  <si>
    <t>50/5-130-07</t>
  </si>
  <si>
    <t>C1-001</t>
  </si>
  <si>
    <t>BR25-30-40</t>
  </si>
  <si>
    <t>50/5-60-04</t>
  </si>
  <si>
    <t>50C-100-04</t>
  </si>
  <si>
    <t>50C-100-03</t>
  </si>
  <si>
    <t>ING-01</t>
  </si>
  <si>
    <t>50C-110-01</t>
  </si>
  <si>
    <t>GRP8X15</t>
  </si>
  <si>
    <t>CH5-5-12</t>
  </si>
  <si>
    <t>C5-014</t>
  </si>
  <si>
    <t>50C-110-09</t>
  </si>
  <si>
    <t>50C-110-08</t>
  </si>
  <si>
    <t>50C-120-10</t>
  </si>
  <si>
    <t>VALVOLA</t>
  </si>
  <si>
    <t>VALVE</t>
  </si>
  <si>
    <t>50C-110-07</t>
  </si>
  <si>
    <t>50C-120-09</t>
  </si>
  <si>
    <t>50C-110-06</t>
  </si>
  <si>
    <t>PONTE</t>
  </si>
  <si>
    <t>50C-120-08</t>
  </si>
  <si>
    <t>50C-110-05</t>
  </si>
  <si>
    <t>TUBO-01</t>
  </si>
  <si>
    <t>50C-110-04</t>
  </si>
  <si>
    <t>50C-120-07</t>
  </si>
  <si>
    <t>COPERCHIO</t>
  </si>
  <si>
    <t>50C-110-02</t>
  </si>
  <si>
    <t>50C-120-06</t>
  </si>
  <si>
    <t>50C-120-05</t>
  </si>
  <si>
    <t>VASCHETTA</t>
  </si>
  <si>
    <t>TANK</t>
  </si>
  <si>
    <t>50C-120-04</t>
  </si>
  <si>
    <t>50C-120-03</t>
  </si>
  <si>
    <t>50C-120-02</t>
  </si>
  <si>
    <t>50C-120-01</t>
  </si>
  <si>
    <t>CORPO VALVOLA</t>
  </si>
  <si>
    <t>VALVE BODY</t>
  </si>
  <si>
    <t>TCEI5X12</t>
  </si>
  <si>
    <t>TC(+)4X8</t>
  </si>
  <si>
    <t>RAC-254</t>
  </si>
  <si>
    <t>OR3300</t>
  </si>
  <si>
    <t>50C-130-07</t>
  </si>
  <si>
    <t>50C-130-06</t>
  </si>
  <si>
    <t>50C-130-05</t>
  </si>
  <si>
    <t>GRN4X4</t>
  </si>
  <si>
    <t>GH-03</t>
  </si>
  <si>
    <t>FASC-04</t>
  </si>
  <si>
    <t>FASCETTA</t>
  </si>
  <si>
    <t>EC-CV253</t>
  </si>
  <si>
    <t>EC-CV082</t>
  </si>
  <si>
    <t>EC-837</t>
  </si>
  <si>
    <t>TERMOCOPPIA</t>
  </si>
  <si>
    <t>TEMP. SENSOR</t>
  </si>
  <si>
    <t>EC-315</t>
  </si>
  <si>
    <t>RESISTENZA</t>
  </si>
  <si>
    <t>HEATING ELEMENT</t>
  </si>
  <si>
    <t>EC-280</t>
  </si>
  <si>
    <t>EC-261</t>
  </si>
  <si>
    <t>EC-260</t>
  </si>
  <si>
    <t>TE6X55</t>
  </si>
  <si>
    <t>EC-1573</t>
  </si>
  <si>
    <t>EC-1536</t>
  </si>
  <si>
    <t>EC-1530</t>
  </si>
  <si>
    <t>EC-1520</t>
  </si>
  <si>
    <t>50C-130-01</t>
  </si>
  <si>
    <t>EC-1519</t>
  </si>
  <si>
    <t>50C-130-09</t>
  </si>
  <si>
    <t>EC-1513</t>
  </si>
  <si>
    <t>50C-130-03</t>
  </si>
  <si>
    <t>EC-1002</t>
  </si>
  <si>
    <t>50C-130-04</t>
  </si>
  <si>
    <t>EC-1000</t>
  </si>
  <si>
    <t>ISOLANTE</t>
  </si>
  <si>
    <t>INSULATOR</t>
  </si>
  <si>
    <t>D5</t>
  </si>
  <si>
    <t>50C-130-08</t>
  </si>
  <si>
    <t>TUBO-13</t>
  </si>
  <si>
    <t>50C-132-01</t>
  </si>
  <si>
    <t>50C-132-02</t>
  </si>
  <si>
    <t>TE6X45</t>
  </si>
  <si>
    <t>50C-132-03</t>
  </si>
  <si>
    <t>50C-140-03</t>
  </si>
  <si>
    <t>50C-140-04</t>
  </si>
  <si>
    <t>TC(+)4X25</t>
  </si>
  <si>
    <t>50C-140-05</t>
  </si>
  <si>
    <t>GANASCIA</t>
  </si>
  <si>
    <t>SEALING JAW</t>
  </si>
  <si>
    <t>SPN4X26</t>
  </si>
  <si>
    <t>50C-140-06</t>
  </si>
  <si>
    <t>50C-150-01</t>
  </si>
  <si>
    <t>RAC-26</t>
  </si>
  <si>
    <t>50C-150-02</t>
  </si>
  <si>
    <t>TUBO-09</t>
  </si>
  <si>
    <t>ING-06</t>
  </si>
  <si>
    <t>FASC-01</t>
  </si>
  <si>
    <t>TCEI10X80</t>
  </si>
  <si>
    <t>TCEI10X30</t>
  </si>
  <si>
    <t>C4-021</t>
  </si>
  <si>
    <t>SG30</t>
  </si>
  <si>
    <t>RAC-95</t>
  </si>
  <si>
    <t>RAC-41</t>
  </si>
  <si>
    <t>RAC-35</t>
  </si>
  <si>
    <t>RAC-11</t>
  </si>
  <si>
    <t>RAC-02</t>
  </si>
  <si>
    <t>LUB-16</t>
  </si>
  <si>
    <t>LUB-04</t>
  </si>
  <si>
    <t>ING-04</t>
  </si>
  <si>
    <t>GRP10X15</t>
  </si>
  <si>
    <t>TCEI5X35</t>
  </si>
  <si>
    <t>DAUT14</t>
  </si>
  <si>
    <t>EC-259</t>
  </si>
  <si>
    <t>D14</t>
  </si>
  <si>
    <t>50U-220-06</t>
  </si>
  <si>
    <t>TUBO-55</t>
  </si>
  <si>
    <t>TUBO-53</t>
  </si>
  <si>
    <t>SCA-73</t>
  </si>
  <si>
    <t>RAC-987</t>
  </si>
  <si>
    <t>C12-046</t>
  </si>
  <si>
    <t>RAC-73</t>
  </si>
  <si>
    <t>RAC-71</t>
  </si>
  <si>
    <t>Tav 1 VITE</t>
  </si>
  <si>
    <t>RAC-48</t>
  </si>
  <si>
    <t>RAC-230</t>
  </si>
  <si>
    <t>RAC-22</t>
  </si>
  <si>
    <t>TCEI4X12</t>
  </si>
  <si>
    <t>SCA-184</t>
  </si>
  <si>
    <t>RAC-17</t>
  </si>
  <si>
    <t>RAC-12</t>
  </si>
  <si>
    <t>EC-CV061</t>
  </si>
  <si>
    <t>RAC-115</t>
  </si>
  <si>
    <t>EC-263</t>
  </si>
  <si>
    <t>RAC-112</t>
  </si>
  <si>
    <t>EC-183</t>
  </si>
  <si>
    <t>NEON</t>
  </si>
  <si>
    <t>EC-175</t>
  </si>
  <si>
    <t>EC-168</t>
  </si>
  <si>
    <t>EC-1450</t>
  </si>
  <si>
    <t>C14-181</t>
  </si>
  <si>
    <t>C15-460</t>
  </si>
  <si>
    <t>PINZA</t>
  </si>
  <si>
    <t>GRIPPER</t>
  </si>
  <si>
    <t>EC-CV050</t>
  </si>
  <si>
    <t>C15-470</t>
  </si>
  <si>
    <t>SPAZZOLA</t>
  </si>
  <si>
    <t>BRUSH</t>
  </si>
  <si>
    <t>C2-006</t>
  </si>
  <si>
    <t>EC-803</t>
  </si>
  <si>
    <t>EC-801</t>
  </si>
  <si>
    <t>C2-036</t>
  </si>
  <si>
    <t>CENTRALINA DI LUBRIFICAZIONE</t>
  </si>
  <si>
    <t>LUBRICATING CONTROL UNIT</t>
  </si>
  <si>
    <t>EC-257</t>
  </si>
  <si>
    <t>EC-234</t>
  </si>
  <si>
    <t>PRESSOSTATO</t>
  </si>
  <si>
    <t>PRESSURE SWITCH</t>
  </si>
  <si>
    <t>C6-522</t>
  </si>
  <si>
    <t>TCEI5X20</t>
  </si>
  <si>
    <t>EC-220-V004 VITE</t>
  </si>
  <si>
    <t>C6-470</t>
  </si>
  <si>
    <t>C6-395</t>
  </si>
  <si>
    <t>SILENZIATORE</t>
  </si>
  <si>
    <t>SILENCER</t>
  </si>
  <si>
    <t>EC-828</t>
  </si>
  <si>
    <t>EC-827</t>
  </si>
  <si>
    <t>C6-362</t>
  </si>
  <si>
    <t>EC-823</t>
  </si>
  <si>
    <t>C6-346</t>
  </si>
  <si>
    <t>EC-822</t>
  </si>
  <si>
    <t>EC-818</t>
  </si>
  <si>
    <t>C6-344</t>
  </si>
  <si>
    <t>KIT CONNESSIONE</t>
  </si>
  <si>
    <t>CONNECTION KIT</t>
  </si>
  <si>
    <t>EC-817</t>
  </si>
  <si>
    <t>EC-675</t>
  </si>
  <si>
    <t>GOMMINO</t>
  </si>
  <si>
    <t>GAITER</t>
  </si>
  <si>
    <t>C6-198</t>
  </si>
  <si>
    <t>EC-673</t>
  </si>
  <si>
    <t>C6-193</t>
  </si>
  <si>
    <t>EC-590</t>
  </si>
  <si>
    <t>EC-1533</t>
  </si>
  <si>
    <t>C6-191</t>
  </si>
  <si>
    <t>EC-1531</t>
  </si>
  <si>
    <t>EC-1521</t>
  </si>
  <si>
    <t>C6-190</t>
  </si>
  <si>
    <t>C6-188</t>
  </si>
  <si>
    <t>C6-182</t>
  </si>
  <si>
    <t>RAC-165</t>
  </si>
  <si>
    <t>RAC-163</t>
  </si>
  <si>
    <t>PORTAGOMMA</t>
  </si>
  <si>
    <t>RAC-162</t>
  </si>
  <si>
    <t>RAC-161</t>
  </si>
  <si>
    <t>RAC-160</t>
  </si>
  <si>
    <t>C6-003</t>
  </si>
  <si>
    <t>EC-991</t>
  </si>
  <si>
    <t>EC-488</t>
  </si>
  <si>
    <t>EC-238</t>
  </si>
  <si>
    <t>TUBO-41</t>
  </si>
  <si>
    <t>RAC-70</t>
  </si>
  <si>
    <t>RAC-62</t>
  </si>
  <si>
    <t>RAC-54</t>
  </si>
  <si>
    <t>TCEI6X40</t>
  </si>
  <si>
    <t>RAC-38</t>
  </si>
  <si>
    <t>RAC-37</t>
  </si>
  <si>
    <t>RAC-33</t>
  </si>
  <si>
    <t>C6-363</t>
  </si>
  <si>
    <t>RAC-31</t>
  </si>
  <si>
    <t>GS2-31</t>
  </si>
  <si>
    <t>GS2-22</t>
  </si>
  <si>
    <t>COFANETTO</t>
  </si>
  <si>
    <t>CASKET</t>
  </si>
  <si>
    <t>GS2-37</t>
  </si>
  <si>
    <t>RAC-256</t>
  </si>
  <si>
    <t>GS2-36</t>
  </si>
  <si>
    <t>RAC-251</t>
  </si>
  <si>
    <t>GS2-34</t>
  </si>
  <si>
    <t>RAC-241</t>
  </si>
  <si>
    <t>GS2-33</t>
  </si>
  <si>
    <t>TESTA DI STAMPA</t>
  </si>
  <si>
    <t>PRINTING HEAD</t>
  </si>
  <si>
    <t>GS2-28</t>
  </si>
  <si>
    <t>PIASTRINA</t>
  </si>
  <si>
    <t>GS2-18</t>
  </si>
  <si>
    <t>GS2-17</t>
  </si>
  <si>
    <t>GS2-14</t>
  </si>
  <si>
    <t>GS2-11</t>
  </si>
  <si>
    <t>GS2-09</t>
  </si>
  <si>
    <t>GS2-08</t>
  </si>
  <si>
    <t>COLONNETTA</t>
  </si>
  <si>
    <t>GS2-06</t>
  </si>
  <si>
    <t>GS2-05</t>
  </si>
  <si>
    <t>RAC-06</t>
  </si>
  <si>
    <t>GS2-03</t>
  </si>
  <si>
    <t>GS2-01</t>
  </si>
  <si>
    <t>C8-015</t>
  </si>
  <si>
    <t>GRN4X20</t>
  </si>
  <si>
    <t>EC-CV063</t>
  </si>
  <si>
    <t>EC-348</t>
  </si>
  <si>
    <t>TC(+)4X30</t>
  </si>
  <si>
    <t>EC-272</t>
  </si>
  <si>
    <t>EC-209</t>
  </si>
  <si>
    <t>RAC-187</t>
  </si>
  <si>
    <t>LUB-17</t>
  </si>
  <si>
    <t>LUB-12</t>
  </si>
  <si>
    <t>EC-CV058</t>
  </si>
  <si>
    <t xml:space="preserve"> </t>
  </si>
  <si>
    <t>TCEI6X70</t>
  </si>
  <si>
    <t>TC(+)3x35</t>
  </si>
  <si>
    <t>R3</t>
  </si>
  <si>
    <t>EC-312</t>
  </si>
  <si>
    <t>EC-1311</t>
  </si>
  <si>
    <t>EC-1310</t>
  </si>
  <si>
    <t>EC-1303</t>
  </si>
  <si>
    <t>EC-1300</t>
  </si>
  <si>
    <t>PIPE RESISTANCE</t>
  </si>
  <si>
    <t>50C-90-V001A</t>
  </si>
  <si>
    <t>Kit catena conipak</t>
  </si>
  <si>
    <t>50C-120-11</t>
  </si>
  <si>
    <t>50C-120-12</t>
  </si>
  <si>
    <t>50C-120-13</t>
  </si>
  <si>
    <t>C13-082</t>
  </si>
  <si>
    <t>C13-087</t>
  </si>
  <si>
    <t>C13-094</t>
  </si>
  <si>
    <t>C14-191</t>
  </si>
  <si>
    <t>C4-010</t>
  </si>
  <si>
    <t>C4-018</t>
  </si>
  <si>
    <t>C6-001</t>
  </si>
  <si>
    <t>C6-622</t>
  </si>
  <si>
    <t>FASC-03</t>
  </si>
  <si>
    <t>GRN8X10</t>
  </si>
  <si>
    <t>OR3118F</t>
  </si>
  <si>
    <t>OR3281F</t>
  </si>
  <si>
    <t>OR4131</t>
  </si>
  <si>
    <t>R10X18</t>
  </si>
  <si>
    <t>R14X42</t>
  </si>
  <si>
    <t>RAC-111</t>
  </si>
  <si>
    <t>RAC-123</t>
  </si>
  <si>
    <t>RAC-2112/1</t>
  </si>
  <si>
    <t>RAC-2112/2</t>
  </si>
  <si>
    <t>RAC-2112/6</t>
  </si>
  <si>
    <t>RAC-2200/1</t>
  </si>
  <si>
    <t>RAC-2200/2</t>
  </si>
  <si>
    <t>RAC-876</t>
  </si>
  <si>
    <t>RAC-908</t>
  </si>
  <si>
    <t>TCEI5X60</t>
  </si>
  <si>
    <t>TE10X90</t>
  </si>
  <si>
    <t>TUBO-20</t>
  </si>
  <si>
    <t>TUBO-50</t>
  </si>
  <si>
    <t>THICKNESS</t>
  </si>
  <si>
    <t>SPESSORE</t>
  </si>
  <si>
    <t>GALDI srl - Assieme prepiega del tetto conipak (50C-110-V001)</t>
  </si>
  <si>
    <t/>
  </si>
  <si>
    <t>REGULATOR + LUBRIFCITATION</t>
  </si>
  <si>
    <t xml:space="preserve">REGOLATORE + LUBRIFICATORE </t>
  </si>
  <si>
    <t>Available on document</t>
  </si>
  <si>
    <t>Not Available on Sections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</si>
</sst>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Calibri"/>
      <scheme val="minor"/>
    </font>
    <font>
      <sz val="11"/>
      <name val="Calibri"/>
    </font>
    <font>
      <sz val="11"/>
      <color theme="1"/>
      <name val="Calibri"/>
    </font>
    <font>
      <u/>
      <sz val="12"/>
      <color theme="10"/>
      <name val="Calibri"/>
    </font>
    <font>
      <b/>
      <sz val="13"/>
      <color rgb="FF17365D"/>
      <name val="Calibri"/>
      <scheme val="minor"/>
    </font>
    <font>
      <sz val="11"/>
      <color theme="1"/>
      <name val="Arial"/>
      <family val="2"/>
    </font>
    <font>
      <u/>
      <sz val="12"/>
      <color theme="1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3"/>
      <color rgb="FF17365D"/>
      <name val="Arial"/>
      <family val="2"/>
    </font>
    <font>
      <b/>
      <sz val="14"/>
      <color rgb="FFFFFFFF"/>
      <name val="Calibri"/>
    </font>
    <font>
      <b/>
      <sz val="11"/>
      <name val="Calibri"/>
    </font>
    <font>
      <b/>
      <sz val="11"/>
      <color theme="0"/>
      <name val="Arial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6"/>
        <bgColor rgb="FF17365D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0" fontId="2" fillId="0" borderId="4"/>
    <xf numFmtId="0" fontId="1" fillId="0" borderId="4"/>
  </cellStyleXfs>
  <cellXfs count="40">
    <xf numFmtId="0" fontId="0" fillId="0" borderId="0" xfId="0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5" borderId="4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0" borderId="0" xfId="0" applyFont="1"/>
    <xf numFmtId="0" fontId="8" fillId="2" borderId="4" xfId="0" applyFont="1" applyFill="1" applyBorder="1" applyAlignment="1">
      <alignment vertical="top" wrapText="1"/>
    </xf>
    <xf numFmtId="0" fontId="8" fillId="8" borderId="5" xfId="0" applyFont="1" applyFill="1" applyBorder="1" applyAlignment="1">
      <alignment vertical="top" wrapText="1"/>
    </xf>
    <xf numFmtId="0" fontId="8" fillId="8" borderId="6" xfId="0" applyFont="1" applyFill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6" xfId="0" applyFont="1" applyFill="1" applyBorder="1" applyAlignment="1">
      <alignment vertical="top" wrapText="1"/>
    </xf>
    <xf numFmtId="0" fontId="8" fillId="10" borderId="0" xfId="0" applyFont="1" applyFill="1"/>
    <xf numFmtId="0" fontId="4" fillId="12" borderId="7" xfId="2" applyFont="1" applyFill="1" applyBorder="1" applyAlignment="1">
      <alignment horizontal="center" vertical="center"/>
    </xf>
    <xf numFmtId="0" fontId="4" fillId="12" borderId="7" xfId="2" applyFont="1" applyFill="1" applyBorder="1" applyAlignment="1">
      <alignment horizontal="left" vertical="center"/>
    </xf>
    <xf numFmtId="0" fontId="4" fillId="13" borderId="7" xfId="2" applyFont="1" applyFill="1" applyBorder="1" applyAlignment="1">
      <alignment horizontal="center" vertical="center"/>
    </xf>
    <xf numFmtId="0" fontId="4" fillId="13" borderId="7" xfId="2" applyFont="1" applyFill="1" applyBorder="1" applyAlignment="1">
      <alignment horizontal="left" vertical="center"/>
    </xf>
    <xf numFmtId="0" fontId="15" fillId="14" borderId="8" xfId="2" applyFont="1" applyFill="1" applyBorder="1" applyAlignment="1">
      <alignment horizontal="center" vertical="center"/>
    </xf>
    <xf numFmtId="0" fontId="15" fillId="14" borderId="8" xfId="2" applyFont="1" applyFill="1" applyBorder="1"/>
    <xf numFmtId="0" fontId="11" fillId="5" borderId="1" xfId="0" applyFont="1" applyFill="1" applyBorder="1" applyAlignment="1">
      <alignment vertical="top" wrapText="1"/>
    </xf>
    <xf numFmtId="0" fontId="12" fillId="6" borderId="2" xfId="0" applyFont="1" applyFill="1" applyBorder="1"/>
    <xf numFmtId="0" fontId="12" fillId="6" borderId="3" xfId="0" applyFont="1" applyFill="1" applyBorder="1"/>
    <xf numFmtId="0" fontId="13" fillId="0" borderId="0" xfId="0" applyFont="1" applyAlignment="1">
      <alignment vertical="top" wrapText="1"/>
    </xf>
    <xf numFmtId="0" fontId="8" fillId="0" borderId="0" xfId="0" applyFont="1"/>
    <xf numFmtId="0" fontId="3" fillId="5" borderId="1" xfId="0" applyFont="1" applyFill="1" applyBorder="1" applyAlignment="1">
      <alignment vertical="top" wrapText="1"/>
    </xf>
    <xf numFmtId="0" fontId="4" fillId="6" borderId="2" xfId="0" applyFont="1" applyFill="1" applyBorder="1"/>
    <xf numFmtId="0" fontId="4" fillId="6" borderId="3" xfId="0" applyFont="1" applyFill="1" applyBorder="1"/>
    <xf numFmtId="0" fontId="7" fillId="0" borderId="0" xfId="0" applyFont="1" applyAlignment="1">
      <alignment vertical="top" wrapText="1"/>
    </xf>
    <xf numFmtId="0" fontId="0" fillId="0" borderId="0" xfId="0"/>
    <xf numFmtId="0" fontId="14" fillId="11" borderId="4" xfId="2" applyFont="1" applyFill="1" applyAlignment="1">
      <alignment horizontal="center" vertical="center"/>
    </xf>
    <xf numFmtId="0" fontId="1" fillId="0" borderId="4" xfId="2"/>
    <xf numFmtId="0" fontId="16" fillId="5" borderId="0" xfId="0" applyFont="1" applyFill="1"/>
    <xf numFmtId="0" fontId="17" fillId="13" borderId="7" xfId="2" applyFont="1" applyFill="1" applyBorder="1" applyAlignment="1">
      <alignment horizontal="left" vertical="center"/>
    </xf>
    <xf numFmtId="0" fontId="15" fillId="14" borderId="8" xfId="2" applyFont="1" applyFill="1" applyBorder="1" applyAlignment="1">
      <alignment vertical="center"/>
    </xf>
    <xf numFmtId="0" fontId="15" fillId="14" borderId="8" xfId="2" applyFont="1" applyFill="1" applyBorder="1" applyAlignment="1"/>
  </cellXfs>
  <cellStyles count="3">
    <cellStyle name="Normal" xfId="0" builtinId="0"/>
    <cellStyle name="Normal 2" xfId="1" xr:uid="{C933B9EF-5FBE-4118-9137-76DA7BA80B8B}"/>
    <cellStyle name="Normal 3" xfId="2" xr:uid="{C21049E4-B8EF-4886-9825-C36712F2B40E}"/>
  </cellStyles>
  <dxfs count="2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4CCCC"/>
          <bgColor rgb="FFF4CCCC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solid">
          <fgColor rgb="FF17365D"/>
          <bgColor theme="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Master Parts-style" pivot="0" count="4" xr9:uid="{00000000-0011-0000-FFFF-FFFF00000000}">
      <tableStyleElement type="wholeTable" size="0" dxfId="228"/>
      <tableStyleElement type="headerRow" dxfId="227"/>
      <tableStyleElement type="firstRowStripe" dxfId="226"/>
      <tableStyleElement type="secondRowStripe" dxfId="225"/>
    </tableStyle>
    <tableStyle name="Section Index-style" pivot="0" count="4" xr9:uid="{00000000-0011-0000-FFFF-FFFF01000000}">
      <tableStyleElement type="wholeTable" size="0" dxfId="224"/>
      <tableStyleElement type="headerRow" dxfId="223"/>
      <tableStyleElement type="firstRowStripe" dxfId="222"/>
      <tableStyleElement type="secondRowStripe" dxfId="2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ectionIndex" displayName="SectionIndex" ref="A3:D74" headerRowDxfId="220" dataDxfId="219" totalsRowDxfId="218">
  <autoFilter ref="A3:D74" xr:uid="{00000000-0009-0000-0100-000002000000}"/>
  <tableColumns count="4">
    <tableColumn id="1" xr3:uid="{00000000-0010-0000-0000-000001000000}" name="No." dataDxfId="217"/>
    <tableColumn id="2" xr3:uid="{00000000-0010-0000-0000-000002000000}" name="Part/Assembly Code" dataDxfId="216"/>
    <tableColumn id="3" xr3:uid="{00000000-0010-0000-0000-000003000000}" name="Section / Drawing Title" dataDxfId="215"/>
    <tableColumn id="4" xr3:uid="{4D5D043E-BB10-4BCD-92DD-0BDF2E443B83}" name="Status" dataDxfId="214" totalsRowDxfId="213"/>
  </tableColumns>
  <tableStyleInfo name="Section Inde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9"/>
  <sheetViews>
    <sheetView showGridLines="0" tabSelected="1" workbookViewId="0">
      <pane ySplit="3" topLeftCell="A4" activePane="bottomLeft" state="frozen"/>
      <selection pane="bottomLeft" activeCell="C49" sqref="C49"/>
    </sheetView>
  </sheetViews>
  <sheetFormatPr defaultColWidth="14.453125" defaultRowHeight="15" customHeight="1" x14ac:dyDescent="0.3"/>
  <cols>
    <col min="1" max="1" width="11.90625" style="9" customWidth="1"/>
    <col min="2" max="2" width="28.81640625" style="9" customWidth="1"/>
    <col min="3" max="3" width="48" style="9" customWidth="1"/>
    <col min="4" max="4" width="31.81640625" style="9" customWidth="1"/>
    <col min="5" max="5" width="14" style="9" customWidth="1"/>
    <col min="6" max="6" width="28" style="9" customWidth="1"/>
    <col min="7" max="24" width="8.6328125" style="9" customWidth="1"/>
    <col min="25" max="16384" width="14.453125" style="9"/>
  </cols>
  <sheetData>
    <row r="1" spans="1:6" ht="27.75" customHeight="1" x14ac:dyDescent="0.3">
      <c r="A1" s="24" t="s">
        <v>2</v>
      </c>
      <c r="B1" s="25"/>
      <c r="C1" s="25"/>
      <c r="D1" s="25"/>
      <c r="E1" s="25"/>
      <c r="F1" s="26"/>
    </row>
    <row r="2" spans="1:6" ht="14" x14ac:dyDescent="0.3">
      <c r="A2" s="10"/>
      <c r="B2" s="10"/>
      <c r="C2" s="10"/>
      <c r="D2" s="10"/>
      <c r="E2" s="10"/>
      <c r="F2" s="10"/>
    </row>
    <row r="3" spans="1:6" ht="14" x14ac:dyDescent="0.3">
      <c r="A3" s="5" t="s">
        <v>3</v>
      </c>
      <c r="B3" s="5" t="s">
        <v>6</v>
      </c>
      <c r="C3" s="5" t="s">
        <v>8</v>
      </c>
      <c r="D3" s="36" t="s">
        <v>14</v>
      </c>
    </row>
    <row r="4" spans="1:6" ht="14" x14ac:dyDescent="0.3">
      <c r="A4" s="3">
        <v>1</v>
      </c>
      <c r="B4" s="3" t="s">
        <v>1</v>
      </c>
      <c r="C4" s="3" t="s">
        <v>7</v>
      </c>
      <c r="D4" s="9" t="s">
        <v>1387</v>
      </c>
    </row>
    <row r="5" spans="1:6" ht="14" x14ac:dyDescent="0.3">
      <c r="A5" s="3">
        <v>2</v>
      </c>
      <c r="B5" s="3" t="s">
        <v>0</v>
      </c>
      <c r="C5" s="3" t="s">
        <v>4</v>
      </c>
      <c r="D5" s="9" t="s">
        <v>1387</v>
      </c>
    </row>
    <row r="6" spans="1:6" ht="14" x14ac:dyDescent="0.3">
      <c r="A6" s="3">
        <v>3</v>
      </c>
      <c r="B6" s="3" t="s">
        <v>25</v>
      </c>
      <c r="C6" s="3" t="s">
        <v>26</v>
      </c>
      <c r="D6" s="9" t="s">
        <v>1387</v>
      </c>
    </row>
    <row r="7" spans="1:6" ht="14" x14ac:dyDescent="0.3">
      <c r="A7" s="3">
        <v>4</v>
      </c>
      <c r="B7" s="3" t="s">
        <v>28</v>
      </c>
      <c r="C7" s="3" t="s">
        <v>30</v>
      </c>
      <c r="D7" s="9" t="s">
        <v>1387</v>
      </c>
    </row>
    <row r="8" spans="1:6" ht="14" x14ac:dyDescent="0.3">
      <c r="A8" s="3">
        <v>5</v>
      </c>
      <c r="B8" s="3" t="s">
        <v>34</v>
      </c>
      <c r="C8" s="3" t="s">
        <v>35</v>
      </c>
      <c r="D8" s="9" t="s">
        <v>1387</v>
      </c>
    </row>
    <row r="9" spans="1:6" ht="14" x14ac:dyDescent="0.3">
      <c r="A9" s="3">
        <v>6</v>
      </c>
      <c r="B9" s="3" t="s">
        <v>39</v>
      </c>
      <c r="C9" s="3" t="s">
        <v>41</v>
      </c>
      <c r="D9" s="9" t="s">
        <v>1387</v>
      </c>
    </row>
    <row r="10" spans="1:6" ht="14" x14ac:dyDescent="0.3">
      <c r="A10" s="3">
        <v>7</v>
      </c>
      <c r="B10" s="3" t="s">
        <v>45</v>
      </c>
      <c r="C10" s="3" t="s">
        <v>47</v>
      </c>
      <c r="D10" s="9" t="s">
        <v>1387</v>
      </c>
    </row>
    <row r="11" spans="1:6" ht="14" x14ac:dyDescent="0.3">
      <c r="A11" s="3">
        <v>8</v>
      </c>
      <c r="B11" s="3" t="s">
        <v>48</v>
      </c>
      <c r="C11" s="3" t="s">
        <v>49</v>
      </c>
      <c r="D11" s="9" t="s">
        <v>1387</v>
      </c>
    </row>
    <row r="12" spans="1:6" ht="14" x14ac:dyDescent="0.3">
      <c r="A12" s="3">
        <v>9</v>
      </c>
      <c r="B12" s="3" t="s">
        <v>57</v>
      </c>
      <c r="C12" s="3" t="s">
        <v>58</v>
      </c>
      <c r="D12" s="9" t="s">
        <v>1387</v>
      </c>
    </row>
    <row r="13" spans="1:6" ht="14" x14ac:dyDescent="0.3">
      <c r="A13" s="3">
        <v>10</v>
      </c>
      <c r="B13" s="3" t="s">
        <v>59</v>
      </c>
      <c r="C13" s="3" t="s">
        <v>60</v>
      </c>
      <c r="D13" s="9" t="s">
        <v>1387</v>
      </c>
    </row>
    <row r="14" spans="1:6" ht="14" x14ac:dyDescent="0.3">
      <c r="A14" s="3">
        <v>11</v>
      </c>
      <c r="B14" s="3" t="s">
        <v>66</v>
      </c>
      <c r="C14" s="3" t="s">
        <v>67</v>
      </c>
      <c r="D14" s="9" t="s">
        <v>1387</v>
      </c>
    </row>
    <row r="15" spans="1:6" ht="14" x14ac:dyDescent="0.3">
      <c r="A15" s="3">
        <v>12</v>
      </c>
      <c r="B15" s="3" t="s">
        <v>69</v>
      </c>
      <c r="C15" s="3" t="s">
        <v>70</v>
      </c>
      <c r="D15" s="9" t="s">
        <v>1387</v>
      </c>
    </row>
    <row r="16" spans="1:6" ht="14" x14ac:dyDescent="0.3">
      <c r="A16" s="3">
        <v>13</v>
      </c>
      <c r="B16" s="3" t="s">
        <v>74</v>
      </c>
      <c r="C16" s="3" t="s">
        <v>76</v>
      </c>
      <c r="D16" s="9" t="s">
        <v>1387</v>
      </c>
    </row>
    <row r="17" spans="1:4" ht="14" x14ac:dyDescent="0.3">
      <c r="A17" s="3">
        <v>14</v>
      </c>
      <c r="B17" s="3" t="s">
        <v>77</v>
      </c>
      <c r="C17" s="3" t="s">
        <v>78</v>
      </c>
      <c r="D17" s="9" t="s">
        <v>1387</v>
      </c>
    </row>
    <row r="18" spans="1:4" ht="14" x14ac:dyDescent="0.3">
      <c r="A18" s="3">
        <v>15</v>
      </c>
      <c r="B18" s="3" t="s">
        <v>83</v>
      </c>
      <c r="C18" s="3" t="s">
        <v>84</v>
      </c>
      <c r="D18" s="9" t="s">
        <v>1387</v>
      </c>
    </row>
    <row r="19" spans="1:4" ht="15.75" customHeight="1" x14ac:dyDescent="0.3">
      <c r="A19" s="3">
        <v>16</v>
      </c>
      <c r="B19" s="3" t="s">
        <v>86</v>
      </c>
      <c r="C19" s="3" t="s">
        <v>87</v>
      </c>
      <c r="D19" s="9" t="s">
        <v>1387</v>
      </c>
    </row>
    <row r="20" spans="1:4" ht="15.75" customHeight="1" x14ac:dyDescent="0.3">
      <c r="A20" s="3">
        <v>17</v>
      </c>
      <c r="B20" s="3" t="s">
        <v>88</v>
      </c>
      <c r="C20" s="3" t="s">
        <v>89</v>
      </c>
      <c r="D20" s="9" t="s">
        <v>1387</v>
      </c>
    </row>
    <row r="21" spans="1:4" ht="15.75" customHeight="1" x14ac:dyDescent="0.3">
      <c r="A21" s="3">
        <v>18</v>
      </c>
      <c r="B21" s="3" t="s">
        <v>93</v>
      </c>
      <c r="C21" s="3" t="s">
        <v>94</v>
      </c>
      <c r="D21" s="9" t="s">
        <v>1387</v>
      </c>
    </row>
    <row r="22" spans="1:4" ht="15.75" customHeight="1" x14ac:dyDescent="0.3">
      <c r="A22" s="3">
        <v>19</v>
      </c>
      <c r="B22" s="3" t="s">
        <v>96</v>
      </c>
      <c r="C22" s="3" t="s">
        <v>97</v>
      </c>
      <c r="D22" s="9" t="s">
        <v>1387</v>
      </c>
    </row>
    <row r="23" spans="1:4" ht="15.75" customHeight="1" x14ac:dyDescent="0.3">
      <c r="A23" s="3">
        <v>20</v>
      </c>
      <c r="B23" s="3" t="s">
        <v>98</v>
      </c>
      <c r="C23" s="3" t="s">
        <v>99</v>
      </c>
      <c r="D23" s="9" t="s">
        <v>1387</v>
      </c>
    </row>
    <row r="24" spans="1:4" ht="15.75" customHeight="1" x14ac:dyDescent="0.3">
      <c r="A24" s="3">
        <v>21</v>
      </c>
      <c r="B24" s="3" t="s">
        <v>103</v>
      </c>
      <c r="C24" s="3" t="s">
        <v>104</v>
      </c>
      <c r="D24" s="9" t="s">
        <v>1387</v>
      </c>
    </row>
    <row r="25" spans="1:4" ht="15.75" customHeight="1" x14ac:dyDescent="0.3">
      <c r="A25" s="3">
        <v>22</v>
      </c>
      <c r="B25" s="3" t="s">
        <v>105</v>
      </c>
      <c r="C25" s="3" t="s">
        <v>106</v>
      </c>
      <c r="D25" s="9" t="s">
        <v>1387</v>
      </c>
    </row>
    <row r="26" spans="1:4" ht="15.75" customHeight="1" x14ac:dyDescent="0.3">
      <c r="A26" s="3">
        <v>23</v>
      </c>
      <c r="B26" s="3" t="s">
        <v>108</v>
      </c>
      <c r="C26" s="3" t="s">
        <v>109</v>
      </c>
      <c r="D26" s="9" t="s">
        <v>1387</v>
      </c>
    </row>
    <row r="27" spans="1:4" ht="15.75" customHeight="1" x14ac:dyDescent="0.3">
      <c r="A27" s="3">
        <v>24</v>
      </c>
      <c r="B27" s="3" t="s">
        <v>110</v>
      </c>
      <c r="C27" s="3" t="s">
        <v>112</v>
      </c>
      <c r="D27" s="9" t="s">
        <v>1387</v>
      </c>
    </row>
    <row r="28" spans="1:4" ht="15.75" customHeight="1" x14ac:dyDescent="0.3">
      <c r="A28" s="3">
        <v>25</v>
      </c>
      <c r="B28" s="3" t="s">
        <v>113</v>
      </c>
      <c r="C28" s="3" t="s">
        <v>114</v>
      </c>
      <c r="D28" s="9" t="s">
        <v>1387</v>
      </c>
    </row>
    <row r="29" spans="1:4" ht="15.75" customHeight="1" x14ac:dyDescent="0.3">
      <c r="A29" s="3">
        <v>26</v>
      </c>
      <c r="B29" s="3" t="s">
        <v>115</v>
      </c>
      <c r="C29" s="3" t="s">
        <v>116</v>
      </c>
      <c r="D29" s="9" t="s">
        <v>1387</v>
      </c>
    </row>
    <row r="30" spans="1:4" ht="15.75" customHeight="1" x14ac:dyDescent="0.3">
      <c r="A30" s="3">
        <v>27</v>
      </c>
      <c r="B30" s="3" t="s">
        <v>120</v>
      </c>
      <c r="C30" s="3" t="s">
        <v>121</v>
      </c>
      <c r="D30" s="9" t="s">
        <v>1387</v>
      </c>
    </row>
    <row r="31" spans="1:4" ht="15.75" customHeight="1" x14ac:dyDescent="0.3">
      <c r="A31" s="3">
        <v>28</v>
      </c>
      <c r="B31" s="3" t="s">
        <v>124</v>
      </c>
      <c r="C31" s="3" t="s">
        <v>125</v>
      </c>
      <c r="D31" s="9" t="s">
        <v>1387</v>
      </c>
    </row>
    <row r="32" spans="1:4" ht="15.75" customHeight="1" x14ac:dyDescent="0.3">
      <c r="A32" s="3">
        <v>29</v>
      </c>
      <c r="B32" s="3" t="s">
        <v>128</v>
      </c>
      <c r="C32" s="3" t="s">
        <v>129</v>
      </c>
      <c r="D32" s="9" t="s">
        <v>1387</v>
      </c>
    </row>
    <row r="33" spans="1:4" ht="15.75" customHeight="1" x14ac:dyDescent="0.3">
      <c r="A33" s="3">
        <v>30</v>
      </c>
      <c r="B33" s="3" t="s">
        <v>130</v>
      </c>
      <c r="C33" s="3" t="s">
        <v>131</v>
      </c>
      <c r="D33" s="9" t="s">
        <v>1387</v>
      </c>
    </row>
    <row r="34" spans="1:4" ht="15.75" customHeight="1" x14ac:dyDescent="0.3">
      <c r="A34" s="3">
        <v>31</v>
      </c>
      <c r="B34" s="3" t="s">
        <v>133</v>
      </c>
      <c r="C34" s="3" t="s">
        <v>134</v>
      </c>
      <c r="D34" s="9" t="s">
        <v>1387</v>
      </c>
    </row>
    <row r="35" spans="1:4" ht="15.75" customHeight="1" x14ac:dyDescent="0.3">
      <c r="A35" s="3">
        <v>32</v>
      </c>
      <c r="B35" s="3" t="s">
        <v>136</v>
      </c>
      <c r="C35" s="3" t="s">
        <v>137</v>
      </c>
      <c r="D35" s="9" t="s">
        <v>1387</v>
      </c>
    </row>
    <row r="36" spans="1:4" ht="15.75" customHeight="1" x14ac:dyDescent="0.3">
      <c r="A36" s="3">
        <v>33</v>
      </c>
      <c r="B36" s="3" t="s">
        <v>143</v>
      </c>
      <c r="C36" s="3" t="s">
        <v>144</v>
      </c>
      <c r="D36" s="9" t="s">
        <v>1387</v>
      </c>
    </row>
    <row r="37" spans="1:4" ht="15.75" customHeight="1" x14ac:dyDescent="0.3">
      <c r="A37" s="3">
        <v>34</v>
      </c>
      <c r="B37" s="3" t="s">
        <v>145</v>
      </c>
      <c r="C37" s="3" t="s">
        <v>146</v>
      </c>
      <c r="D37" s="9" t="s">
        <v>1387</v>
      </c>
    </row>
    <row r="38" spans="1:4" ht="15.75" customHeight="1" x14ac:dyDescent="0.3">
      <c r="A38" s="3">
        <v>35</v>
      </c>
      <c r="B38" s="3" t="s">
        <v>148</v>
      </c>
      <c r="C38" s="3" t="s">
        <v>149</v>
      </c>
      <c r="D38" s="9" t="s">
        <v>1387</v>
      </c>
    </row>
    <row r="39" spans="1:4" ht="15.75" customHeight="1" x14ac:dyDescent="0.3">
      <c r="A39" s="3">
        <v>36</v>
      </c>
      <c r="B39" s="3" t="s">
        <v>151</v>
      </c>
      <c r="C39" s="3" t="s">
        <v>152</v>
      </c>
      <c r="D39" s="9" t="s">
        <v>1387</v>
      </c>
    </row>
    <row r="40" spans="1:4" ht="15.75" customHeight="1" x14ac:dyDescent="0.3">
      <c r="A40" s="3">
        <v>37</v>
      </c>
      <c r="B40" s="3" t="s">
        <v>155</v>
      </c>
      <c r="C40" s="3" t="s">
        <v>156</v>
      </c>
      <c r="D40" s="9" t="s">
        <v>1387</v>
      </c>
    </row>
    <row r="41" spans="1:4" ht="15.75" customHeight="1" x14ac:dyDescent="0.3">
      <c r="A41" s="3">
        <v>38</v>
      </c>
      <c r="B41" s="3" t="s">
        <v>158</v>
      </c>
      <c r="C41" s="3" t="s">
        <v>159</v>
      </c>
      <c r="D41" s="9" t="s">
        <v>1387</v>
      </c>
    </row>
    <row r="42" spans="1:4" ht="15.75" customHeight="1" x14ac:dyDescent="0.3">
      <c r="A42" s="3">
        <v>39</v>
      </c>
      <c r="B42" s="3" t="s">
        <v>160</v>
      </c>
      <c r="C42" s="3" t="s">
        <v>161</v>
      </c>
      <c r="D42" s="9" t="s">
        <v>1387</v>
      </c>
    </row>
    <row r="43" spans="1:4" ht="15.75" customHeight="1" x14ac:dyDescent="0.3">
      <c r="A43" s="3">
        <v>40</v>
      </c>
      <c r="B43" s="3" t="s">
        <v>163</v>
      </c>
      <c r="C43" s="3" t="s">
        <v>165</v>
      </c>
      <c r="D43" s="9" t="s">
        <v>1387</v>
      </c>
    </row>
    <row r="44" spans="1:4" ht="15.75" customHeight="1" x14ac:dyDescent="0.3">
      <c r="A44" s="3">
        <v>41</v>
      </c>
      <c r="B44" s="3" t="s">
        <v>166</v>
      </c>
      <c r="C44" s="3" t="s">
        <v>167</v>
      </c>
      <c r="D44" s="9" t="s">
        <v>1387</v>
      </c>
    </row>
    <row r="45" spans="1:4" ht="15.75" customHeight="1" x14ac:dyDescent="0.3">
      <c r="A45" s="3">
        <v>42</v>
      </c>
      <c r="B45" s="3" t="s">
        <v>168</v>
      </c>
      <c r="C45" s="3" t="s">
        <v>169</v>
      </c>
      <c r="D45" s="9" t="s">
        <v>1387</v>
      </c>
    </row>
    <row r="46" spans="1:4" ht="15.75" customHeight="1" x14ac:dyDescent="0.3">
      <c r="A46" s="3">
        <v>43</v>
      </c>
      <c r="B46" s="3" t="s">
        <v>171</v>
      </c>
      <c r="C46" s="3" t="s">
        <v>172</v>
      </c>
      <c r="D46" s="9" t="s">
        <v>1387</v>
      </c>
    </row>
    <row r="47" spans="1:4" ht="15.75" customHeight="1" x14ac:dyDescent="0.3">
      <c r="A47" s="3">
        <v>44</v>
      </c>
      <c r="B47" s="3" t="s">
        <v>174</v>
      </c>
      <c r="C47" s="3" t="s">
        <v>175</v>
      </c>
      <c r="D47" s="9" t="s">
        <v>1387</v>
      </c>
    </row>
    <row r="48" spans="1:4" ht="15.75" customHeight="1" x14ac:dyDescent="0.3">
      <c r="A48" s="3"/>
      <c r="B48" s="3" t="s">
        <v>1348</v>
      </c>
      <c r="C48" s="3" t="s">
        <v>1349</v>
      </c>
      <c r="D48" s="9" t="s">
        <v>1388</v>
      </c>
    </row>
    <row r="49" spans="1:4" ht="15.75" customHeight="1" x14ac:dyDescent="0.3">
      <c r="A49" s="3">
        <v>45</v>
      </c>
      <c r="B49" s="3" t="s">
        <v>178</v>
      </c>
      <c r="C49" s="3" t="s">
        <v>179</v>
      </c>
      <c r="D49" s="9" t="s">
        <v>1387</v>
      </c>
    </row>
    <row r="50" spans="1:4" ht="15.75" customHeight="1" x14ac:dyDescent="0.3">
      <c r="A50" s="3">
        <v>46</v>
      </c>
      <c r="B50" s="3" t="s">
        <v>182</v>
      </c>
      <c r="C50" s="3" t="s">
        <v>183</v>
      </c>
      <c r="D50" s="9" t="s">
        <v>1387</v>
      </c>
    </row>
    <row r="51" spans="1:4" ht="15.75" customHeight="1" x14ac:dyDescent="0.3">
      <c r="A51" s="3">
        <v>47</v>
      </c>
      <c r="B51" s="3" t="s">
        <v>185</v>
      </c>
      <c r="C51" s="3" t="s">
        <v>187</v>
      </c>
      <c r="D51" s="9" t="s">
        <v>1387</v>
      </c>
    </row>
    <row r="52" spans="1:4" ht="15.75" customHeight="1" x14ac:dyDescent="0.3">
      <c r="A52" s="3">
        <v>48</v>
      </c>
      <c r="B52" s="3" t="s">
        <v>188</v>
      </c>
      <c r="C52" s="3" t="s">
        <v>189</v>
      </c>
      <c r="D52" s="9" t="s">
        <v>1387</v>
      </c>
    </row>
    <row r="53" spans="1:4" ht="15.75" customHeight="1" x14ac:dyDescent="0.3">
      <c r="A53" s="3">
        <v>49</v>
      </c>
      <c r="B53" s="3" t="s">
        <v>195</v>
      </c>
      <c r="C53" s="3" t="s">
        <v>196</v>
      </c>
      <c r="D53" s="9" t="s">
        <v>1387</v>
      </c>
    </row>
    <row r="54" spans="1:4" ht="15.75" customHeight="1" x14ac:dyDescent="0.3">
      <c r="A54" s="3">
        <v>50</v>
      </c>
      <c r="B54" s="3" t="s">
        <v>197</v>
      </c>
      <c r="C54" s="3" t="s">
        <v>198</v>
      </c>
      <c r="D54" s="9" t="s">
        <v>1387</v>
      </c>
    </row>
    <row r="55" spans="1:4" ht="15.75" customHeight="1" x14ac:dyDescent="0.3">
      <c r="A55" s="3">
        <v>51</v>
      </c>
      <c r="B55" s="3" t="s">
        <v>200</v>
      </c>
      <c r="C55" s="3" t="s">
        <v>202</v>
      </c>
      <c r="D55" s="9" t="s">
        <v>1387</v>
      </c>
    </row>
    <row r="56" spans="1:4" ht="15.75" customHeight="1" x14ac:dyDescent="0.3">
      <c r="A56" s="3">
        <v>52</v>
      </c>
      <c r="B56" s="3" t="s">
        <v>204</v>
      </c>
      <c r="C56" s="3" t="s">
        <v>205</v>
      </c>
      <c r="D56" s="9" t="s">
        <v>1387</v>
      </c>
    </row>
    <row r="57" spans="1:4" ht="15.75" customHeight="1" x14ac:dyDescent="0.3">
      <c r="A57" s="3">
        <v>53</v>
      </c>
      <c r="B57" s="3" t="s">
        <v>207</v>
      </c>
      <c r="C57" s="3" t="s">
        <v>208</v>
      </c>
      <c r="D57" s="9" t="s">
        <v>1387</v>
      </c>
    </row>
    <row r="58" spans="1:4" ht="15.75" customHeight="1" x14ac:dyDescent="0.3">
      <c r="A58" s="3">
        <v>54</v>
      </c>
      <c r="B58" s="3" t="s">
        <v>211</v>
      </c>
      <c r="C58" s="3" t="s">
        <v>213</v>
      </c>
      <c r="D58" s="9" t="s">
        <v>1387</v>
      </c>
    </row>
    <row r="59" spans="1:4" ht="15.75" customHeight="1" x14ac:dyDescent="0.3">
      <c r="A59" s="3">
        <v>55</v>
      </c>
      <c r="B59" s="3" t="s">
        <v>216</v>
      </c>
      <c r="C59" s="3" t="s">
        <v>219</v>
      </c>
      <c r="D59" s="9" t="s">
        <v>1387</v>
      </c>
    </row>
    <row r="60" spans="1:4" ht="15.75" customHeight="1" x14ac:dyDescent="0.3">
      <c r="A60" s="3">
        <v>56</v>
      </c>
      <c r="B60" s="3" t="s">
        <v>220</v>
      </c>
      <c r="C60" s="3" t="s">
        <v>221</v>
      </c>
      <c r="D60" s="9" t="s">
        <v>1387</v>
      </c>
    </row>
    <row r="61" spans="1:4" ht="15.75" customHeight="1" x14ac:dyDescent="0.3">
      <c r="A61" s="3">
        <v>57</v>
      </c>
      <c r="B61" s="3" t="s">
        <v>222</v>
      </c>
      <c r="C61" s="3" t="s">
        <v>224</v>
      </c>
      <c r="D61" s="9" t="s">
        <v>1387</v>
      </c>
    </row>
    <row r="62" spans="1:4" ht="15.75" customHeight="1" x14ac:dyDescent="0.3">
      <c r="A62" s="3">
        <v>58</v>
      </c>
      <c r="B62" s="3" t="s">
        <v>227</v>
      </c>
      <c r="C62" s="3" t="s">
        <v>228</v>
      </c>
      <c r="D62" s="9" t="s">
        <v>1387</v>
      </c>
    </row>
    <row r="63" spans="1:4" ht="15.75" customHeight="1" x14ac:dyDescent="0.3">
      <c r="A63" s="3">
        <v>59</v>
      </c>
      <c r="B63" s="3" t="s">
        <v>229</v>
      </c>
      <c r="C63" s="3" t="s">
        <v>230</v>
      </c>
      <c r="D63" s="9" t="s">
        <v>1387</v>
      </c>
    </row>
    <row r="64" spans="1:4" ht="15.75" customHeight="1" x14ac:dyDescent="0.3">
      <c r="A64" s="3">
        <v>60</v>
      </c>
      <c r="B64" s="3" t="s">
        <v>231</v>
      </c>
      <c r="C64" s="3" t="s">
        <v>232</v>
      </c>
      <c r="D64" s="9" t="s">
        <v>1387</v>
      </c>
    </row>
    <row r="65" spans="1:4" ht="15.75" customHeight="1" x14ac:dyDescent="0.3">
      <c r="A65" s="3">
        <v>61</v>
      </c>
      <c r="B65" s="3" t="s">
        <v>235</v>
      </c>
      <c r="C65" s="3" t="s">
        <v>236</v>
      </c>
      <c r="D65" s="9" t="s">
        <v>1387</v>
      </c>
    </row>
    <row r="66" spans="1:4" ht="15.75" customHeight="1" x14ac:dyDescent="0.3">
      <c r="A66" s="3">
        <v>62</v>
      </c>
      <c r="B66" s="3" t="s">
        <v>237</v>
      </c>
      <c r="C66" s="3" t="s">
        <v>240</v>
      </c>
      <c r="D66" s="9" t="s">
        <v>1387</v>
      </c>
    </row>
    <row r="67" spans="1:4" ht="15.75" customHeight="1" x14ac:dyDescent="0.3">
      <c r="A67" s="3">
        <v>63</v>
      </c>
      <c r="B67" s="3" t="s">
        <v>243</v>
      </c>
      <c r="C67" s="3" t="s">
        <v>244</v>
      </c>
      <c r="D67" s="9" t="s">
        <v>1387</v>
      </c>
    </row>
    <row r="68" spans="1:4" ht="15.75" customHeight="1" x14ac:dyDescent="0.3">
      <c r="A68" s="3">
        <v>64</v>
      </c>
      <c r="B68" s="3" t="s">
        <v>246</v>
      </c>
      <c r="C68" s="3" t="s">
        <v>247</v>
      </c>
      <c r="D68" s="9" t="s">
        <v>1387</v>
      </c>
    </row>
    <row r="69" spans="1:4" ht="15.75" customHeight="1" x14ac:dyDescent="0.3">
      <c r="A69" s="3">
        <v>65</v>
      </c>
      <c r="B69" s="3" t="s">
        <v>248</v>
      </c>
      <c r="C69" s="3" t="s">
        <v>250</v>
      </c>
      <c r="D69" s="9" t="s">
        <v>1387</v>
      </c>
    </row>
    <row r="70" spans="1:4" ht="15.75" customHeight="1" x14ac:dyDescent="0.3">
      <c r="A70" s="3">
        <v>66</v>
      </c>
      <c r="B70" s="3" t="s">
        <v>251</v>
      </c>
      <c r="C70" s="3" t="s">
        <v>253</v>
      </c>
      <c r="D70" s="9" t="s">
        <v>1387</v>
      </c>
    </row>
    <row r="71" spans="1:4" ht="15.75" customHeight="1" x14ac:dyDescent="0.3">
      <c r="A71" s="3">
        <v>67</v>
      </c>
      <c r="B71" s="3" t="s">
        <v>256</v>
      </c>
      <c r="C71" s="3" t="s">
        <v>257</v>
      </c>
      <c r="D71" s="9" t="s">
        <v>1387</v>
      </c>
    </row>
    <row r="72" spans="1:4" ht="15.75" customHeight="1" x14ac:dyDescent="0.3">
      <c r="A72" s="3">
        <v>68</v>
      </c>
      <c r="B72" s="3" t="s">
        <v>260</v>
      </c>
      <c r="C72" s="3" t="s">
        <v>261</v>
      </c>
      <c r="D72" s="9" t="s">
        <v>1387</v>
      </c>
    </row>
    <row r="73" spans="1:4" ht="15.75" customHeight="1" x14ac:dyDescent="0.3">
      <c r="A73" s="3">
        <v>69</v>
      </c>
      <c r="B73" s="3" t="s">
        <v>263</v>
      </c>
      <c r="C73" s="3" t="s">
        <v>264</v>
      </c>
      <c r="D73" s="9" t="s">
        <v>1387</v>
      </c>
    </row>
    <row r="74" spans="1:4" ht="15.75" customHeight="1" x14ac:dyDescent="0.3"/>
    <row r="75" spans="1:4" ht="15.75" customHeight="1" x14ac:dyDescent="0.3"/>
    <row r="76" spans="1:4" ht="15.75" customHeight="1" x14ac:dyDescent="0.3"/>
    <row r="77" spans="1:4" ht="15.75" customHeight="1" x14ac:dyDescent="0.3"/>
    <row r="78" spans="1:4" ht="15.75" customHeight="1" x14ac:dyDescent="0.3"/>
    <row r="79" spans="1:4" ht="15.75" customHeight="1" x14ac:dyDescent="0.3"/>
    <row r="80" spans="1: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customSheetViews>
    <customSheetView guid="{2EDA2878-DDCB-447C-BAD9-966431DD50DA}" filter="1" showAutoFilter="1">
      <pageMargins left="0.7" right="0.7" top="0.75" bottom="0.75" header="0.3" footer="0.3"/>
      <autoFilter ref="A5:H74" xr:uid="{20834E57-DF3B-48C0-B0F7-4CC7DA764B36}"/>
      <extLst>
        <ext uri="GoogleSheetsCustomDataVersion1">
          <go:sheetsCustomData xmlns:go="http://customooxmlschemas.google.com/" filterViewId="1572492902"/>
        </ext>
      </extLst>
    </customSheetView>
  </customSheetViews>
  <mergeCells count="1">
    <mergeCell ref="A1:F1"/>
  </mergeCells>
  <conditionalFormatting sqref="D3:D73">
    <cfRule type="containsText" dxfId="0" priority="2" operator="containsText" text="Available on document">
      <formula>NOT(ISERROR(SEARCH("Available on document",D3)))</formula>
    </cfRule>
    <cfRule type="containsText" dxfId="1" priority="1" operator="containsText" text="Not Available on sections list">
      <formula>NOT(ISERROR(SEARCH("Not Available on sections list",D3)))</formula>
    </cfRule>
  </conditionalFormatting>
  <pageMargins left="0.25" right="0.25" top="0.4" bottom="0.4" header="0" footer="0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00"/>
  <sheetViews>
    <sheetView showGridLines="0" workbookViewId="0">
      <pane ySplit="6" topLeftCell="A36" activePane="bottomLeft" state="frozen"/>
      <selection pane="bottomLeft" activeCell="F42" sqref="F4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75" customHeight="1" x14ac:dyDescent="0.3">
      <c r="A1" s="24" t="s">
        <v>1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7">
        <v>1</v>
      </c>
      <c r="B5" s="7" t="s">
        <v>101</v>
      </c>
      <c r="C5" s="7" t="s">
        <v>102</v>
      </c>
      <c r="D5" s="7" t="s">
        <v>24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</row>
    <row r="6" spans="1:10" ht="14" x14ac:dyDescent="0.3">
      <c r="A6" s="8">
        <v>2</v>
      </c>
      <c r="B6" s="8" t="s">
        <v>111</v>
      </c>
      <c r="C6" s="8" t="s">
        <v>81</v>
      </c>
      <c r="D6" s="8" t="s">
        <v>82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122</v>
      </c>
      <c r="C7" s="7" t="s">
        <v>123</v>
      </c>
      <c r="D7" s="7" t="s">
        <v>126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135</v>
      </c>
      <c r="C8" s="8" t="s">
        <v>138</v>
      </c>
      <c r="D8" s="8" t="s">
        <v>139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150</v>
      </c>
      <c r="C9" s="7" t="s">
        <v>153</v>
      </c>
      <c r="D9" s="7" t="s">
        <v>154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162</v>
      </c>
      <c r="C10" s="8" t="s">
        <v>81</v>
      </c>
      <c r="D10" s="8" t="s">
        <v>82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170</v>
      </c>
      <c r="C11" s="7" t="s">
        <v>138</v>
      </c>
      <c r="D11" s="7" t="s">
        <v>139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181</v>
      </c>
      <c r="C12" s="8" t="s">
        <v>63</v>
      </c>
      <c r="D12" s="8" t="s">
        <v>65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191</v>
      </c>
      <c r="C13" s="7" t="s">
        <v>192</v>
      </c>
      <c r="D13" s="7" t="s">
        <v>193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262</v>
      </c>
      <c r="C14" s="8" t="s">
        <v>63</v>
      </c>
      <c r="D14" s="8" t="s">
        <v>65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361</v>
      </c>
      <c r="C15" s="7" t="s">
        <v>55</v>
      </c>
      <c r="D15" s="7" t="s">
        <v>56</v>
      </c>
      <c r="E15" s="7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357</v>
      </c>
      <c r="C16" s="8" t="s">
        <v>55</v>
      </c>
      <c r="D16" s="8" t="s">
        <v>56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355</v>
      </c>
      <c r="C17" s="7" t="s">
        <v>319</v>
      </c>
      <c r="D17" s="7" t="s">
        <v>319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351</v>
      </c>
      <c r="C18" s="8" t="s">
        <v>352</v>
      </c>
      <c r="D18" s="8" t="s">
        <v>353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4" x14ac:dyDescent="0.3">
      <c r="A19" s="7">
        <v>15</v>
      </c>
      <c r="B19" s="7" t="s">
        <v>346</v>
      </c>
      <c r="C19" s="7" t="s">
        <v>55</v>
      </c>
      <c r="D19" s="7" t="s">
        <v>56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4" x14ac:dyDescent="0.3">
      <c r="A20" s="8">
        <v>16</v>
      </c>
      <c r="B20" s="8" t="s">
        <v>345</v>
      </c>
      <c r="C20" s="8" t="s">
        <v>55</v>
      </c>
      <c r="D20" s="8" t="s">
        <v>56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341</v>
      </c>
      <c r="C21" s="7" t="s">
        <v>342</v>
      </c>
      <c r="D21" s="7" t="s">
        <v>343</v>
      </c>
      <c r="E21" s="7">
        <v>1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340</v>
      </c>
      <c r="C22" s="8" t="s">
        <v>55</v>
      </c>
      <c r="D22" s="8" t="s">
        <v>56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338</v>
      </c>
      <c r="C23" s="7" t="s">
        <v>63</v>
      </c>
      <c r="D23" s="7" t="s">
        <v>65</v>
      </c>
      <c r="E23" s="7">
        <v>6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336</v>
      </c>
      <c r="C24" s="8" t="s">
        <v>138</v>
      </c>
      <c r="D24" s="8" t="s">
        <v>139</v>
      </c>
      <c r="E24" s="8">
        <v>3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206</v>
      </c>
      <c r="C25" s="7" t="s">
        <v>72</v>
      </c>
      <c r="D25" s="7" t="s">
        <v>73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331</v>
      </c>
      <c r="C26" s="8" t="s">
        <v>332</v>
      </c>
      <c r="D26" s="8" t="s">
        <v>333</v>
      </c>
      <c r="E26" s="8">
        <v>14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327</v>
      </c>
      <c r="C27" s="7" t="s">
        <v>328</v>
      </c>
      <c r="D27" s="7" t="s">
        <v>329</v>
      </c>
      <c r="E27" s="7">
        <v>10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325</v>
      </c>
      <c r="C28" s="8" t="s">
        <v>55</v>
      </c>
      <c r="D28" s="8" t="s">
        <v>56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318</v>
      </c>
      <c r="C29" s="7" t="s">
        <v>319</v>
      </c>
      <c r="D29" s="7" t="s">
        <v>319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315</v>
      </c>
      <c r="C30" s="8" t="s">
        <v>272</v>
      </c>
      <c r="D30" s="8" t="s">
        <v>273</v>
      </c>
      <c r="E30" s="8">
        <v>8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307</v>
      </c>
      <c r="C31" s="7" t="s">
        <v>308</v>
      </c>
      <c r="D31" s="7" t="s">
        <v>309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306</v>
      </c>
      <c r="C32" s="8" t="s">
        <v>55</v>
      </c>
      <c r="D32" s="8" t="s">
        <v>56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302</v>
      </c>
      <c r="C33" s="7" t="s">
        <v>303</v>
      </c>
      <c r="D33" s="7" t="s">
        <v>304</v>
      </c>
      <c r="E33" s="7">
        <v>1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295</v>
      </c>
      <c r="C34" s="8" t="s">
        <v>296</v>
      </c>
      <c r="D34" s="8" t="s">
        <v>297</v>
      </c>
      <c r="E34" s="8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292</v>
      </c>
      <c r="C35" s="7" t="s">
        <v>293</v>
      </c>
      <c r="D35" s="7" t="s">
        <v>294</v>
      </c>
      <c r="E35" s="7">
        <v>4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289</v>
      </c>
      <c r="C36" s="8" t="s">
        <v>290</v>
      </c>
      <c r="D36" s="8" t="s">
        <v>291</v>
      </c>
      <c r="E36" s="8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287</v>
      </c>
      <c r="C37" s="7" t="s">
        <v>278</v>
      </c>
      <c r="D37" s="7" t="s">
        <v>279</v>
      </c>
      <c r="E37" s="7">
        <v>1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286</v>
      </c>
      <c r="C38" s="8" t="s">
        <v>278</v>
      </c>
      <c r="D38" s="8" t="s">
        <v>279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285</v>
      </c>
      <c r="C39" s="7" t="s">
        <v>278</v>
      </c>
      <c r="D39" s="7" t="s">
        <v>279</v>
      </c>
      <c r="E39" s="7">
        <v>3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283</v>
      </c>
      <c r="C40" s="8" t="s">
        <v>278</v>
      </c>
      <c r="D40" s="8" t="s">
        <v>279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282</v>
      </c>
      <c r="C41" s="7" t="s">
        <v>278</v>
      </c>
      <c r="D41" s="7" t="s">
        <v>279</v>
      </c>
      <c r="E41" s="7">
        <v>1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281</v>
      </c>
      <c r="C42" s="8" t="s">
        <v>278</v>
      </c>
      <c r="D42" s="8" t="s">
        <v>279</v>
      </c>
      <c r="E42" s="8">
        <v>1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277</v>
      </c>
      <c r="C43" s="7" t="s">
        <v>278</v>
      </c>
      <c r="D43" s="7" t="s">
        <v>279</v>
      </c>
      <c r="E43" s="7">
        <v>3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274</v>
      </c>
      <c r="C44" s="8" t="s">
        <v>275</v>
      </c>
      <c r="D44" s="8" t="s">
        <v>276</v>
      </c>
      <c r="E44" s="8">
        <v>24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268</v>
      </c>
      <c r="C45" s="7" t="s">
        <v>269</v>
      </c>
      <c r="D45" s="7" t="s">
        <v>270</v>
      </c>
      <c r="E45" s="7">
        <v>1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265</v>
      </c>
      <c r="C46" s="8" t="s">
        <v>266</v>
      </c>
      <c r="D46" s="8" t="s">
        <v>267</v>
      </c>
      <c r="E46" s="8">
        <v>8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258</v>
      </c>
      <c r="C47" s="7" t="s">
        <v>239</v>
      </c>
      <c r="D47" s="7" t="s">
        <v>259</v>
      </c>
      <c r="E47" s="7">
        <v>10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252</v>
      </c>
      <c r="C48" s="8" t="s">
        <v>254</v>
      </c>
      <c r="D48" s="8" t="s">
        <v>255</v>
      </c>
      <c r="E48" s="8">
        <v>1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245</v>
      </c>
      <c r="C49" s="7" t="s">
        <v>63</v>
      </c>
      <c r="D49" s="7" t="s">
        <v>65</v>
      </c>
      <c r="E49" s="7">
        <v>2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238</v>
      </c>
      <c r="C50" s="8" t="s">
        <v>239</v>
      </c>
      <c r="D50" s="8" t="s">
        <v>241</v>
      </c>
      <c r="E50" s="8">
        <v>1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234</v>
      </c>
      <c r="C51" s="7" t="s">
        <v>43</v>
      </c>
      <c r="D51" s="7" t="s">
        <v>44</v>
      </c>
      <c r="E51" s="7">
        <v>8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190</v>
      </c>
      <c r="C52" s="8" t="s">
        <v>43</v>
      </c>
      <c r="D52" s="8" t="s">
        <v>44</v>
      </c>
      <c r="E52" s="8">
        <v>2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42</v>
      </c>
      <c r="C53" s="7" t="s">
        <v>43</v>
      </c>
      <c r="D53" s="7" t="s">
        <v>44</v>
      </c>
      <c r="E53" s="7">
        <v>4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215</v>
      </c>
      <c r="C54" s="8" t="s">
        <v>217</v>
      </c>
      <c r="D54" s="8" t="s">
        <v>218</v>
      </c>
      <c r="E54" s="8">
        <v>1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184</v>
      </c>
      <c r="C55" s="7" t="s">
        <v>31</v>
      </c>
      <c r="D55" s="7" t="s">
        <v>32</v>
      </c>
      <c r="E55" s="7">
        <v>9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201</v>
      </c>
      <c r="C56" s="8" t="s">
        <v>31</v>
      </c>
      <c r="D56" s="8" t="s">
        <v>32</v>
      </c>
      <c r="E56" s="8">
        <v>18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194</v>
      </c>
      <c r="C57" s="7" t="s">
        <v>31</v>
      </c>
      <c r="D57" s="7" t="s">
        <v>32</v>
      </c>
      <c r="E57" s="7">
        <v>10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186</v>
      </c>
      <c r="C58" s="8" t="s">
        <v>31</v>
      </c>
      <c r="D58" s="8" t="s">
        <v>32</v>
      </c>
      <c r="E58" s="8">
        <v>11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180</v>
      </c>
      <c r="C59" s="7" t="s">
        <v>31</v>
      </c>
      <c r="D59" s="7" t="s">
        <v>32</v>
      </c>
      <c r="E59" s="7">
        <v>8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8">
        <v>56</v>
      </c>
      <c r="B60" s="8" t="s">
        <v>173</v>
      </c>
      <c r="C60" s="8" t="s">
        <v>31</v>
      </c>
      <c r="D60" s="8" t="s">
        <v>32</v>
      </c>
      <c r="E60" s="8">
        <v>35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7">
        <v>57</v>
      </c>
      <c r="B61" s="7" t="s">
        <v>29</v>
      </c>
      <c r="C61" s="7" t="s">
        <v>31</v>
      </c>
      <c r="D61" s="7" t="s">
        <v>32</v>
      </c>
      <c r="E61" s="7">
        <v>15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8">
        <v>58</v>
      </c>
      <c r="B62" s="8" t="s">
        <v>164</v>
      </c>
      <c r="C62" s="8" t="s">
        <v>31</v>
      </c>
      <c r="D62" s="8" t="s">
        <v>32</v>
      </c>
      <c r="E62" s="8">
        <v>20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7">
        <v>59</v>
      </c>
      <c r="B63" s="7" t="s">
        <v>157</v>
      </c>
      <c r="C63" s="7" t="s">
        <v>31</v>
      </c>
      <c r="D63" s="7" t="s">
        <v>32</v>
      </c>
      <c r="E63" s="7">
        <v>18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8">
        <v>60</v>
      </c>
      <c r="B64" s="8" t="s">
        <v>147</v>
      </c>
      <c r="C64" s="8" t="s">
        <v>141</v>
      </c>
      <c r="D64" s="8" t="s">
        <v>142</v>
      </c>
      <c r="E64" s="8">
        <v>10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7">
        <v>61</v>
      </c>
      <c r="B65" s="7" t="s">
        <v>140</v>
      </c>
      <c r="C65" s="7" t="s">
        <v>141</v>
      </c>
      <c r="D65" s="7" t="s">
        <v>142</v>
      </c>
      <c r="E65" s="7">
        <v>11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8">
        <v>62</v>
      </c>
      <c r="B66" s="8" t="s">
        <v>132</v>
      </c>
      <c r="C66" s="8" t="s">
        <v>72</v>
      </c>
      <c r="D66" s="8" t="s">
        <v>73</v>
      </c>
      <c r="E66" s="8">
        <v>10</v>
      </c>
      <c r="F66" s="8" t="str">
        <f t="array" ref="F66">IFERROR(_xlfn.XLOOKUP(B66,#REF!,#REF!,""),"")</f>
        <v/>
      </c>
      <c r="G66" s="8" t="str">
        <f t="array" ref="G66">IFERROR(_xlfn.XLOOKUP(B66,#REF!,#REF!,""),"")</f>
        <v/>
      </c>
      <c r="H66" s="8" t="str">
        <f t="array" ref="H66">IFERROR(_xlfn.XLOOKUP(B66,#REF!,#REF!,""),"")</f>
        <v/>
      </c>
      <c r="I66" s="3"/>
      <c r="J66" s="3"/>
    </row>
    <row r="67" spans="1:10" ht="15.75" customHeight="1" x14ac:dyDescent="0.3">
      <c r="A67" s="7">
        <v>63</v>
      </c>
      <c r="B67" s="7" t="s">
        <v>127</v>
      </c>
      <c r="C67" s="7" t="s">
        <v>72</v>
      </c>
      <c r="D67" s="7" t="s">
        <v>73</v>
      </c>
      <c r="E67" s="7">
        <v>14</v>
      </c>
      <c r="F67" s="7" t="str">
        <f t="array" ref="F67">IFERROR(_xlfn.XLOOKUP(B67,#REF!,#REF!,""),"")</f>
        <v/>
      </c>
      <c r="G67" s="7" t="str">
        <f t="array" ref="G67">IFERROR(_xlfn.XLOOKUP(B67,#REF!,#REF!,""),"")</f>
        <v/>
      </c>
      <c r="H67" s="7" t="str">
        <f t="array" ref="H67">IFERROR(_xlfn.XLOOKUP(B67,#REF!,#REF!,""),"")</f>
        <v/>
      </c>
      <c r="I67" s="3"/>
      <c r="J67" s="3"/>
    </row>
    <row r="68" spans="1:10" ht="15.75" customHeight="1" x14ac:dyDescent="0.3">
      <c r="A68" s="8">
        <v>64</v>
      </c>
      <c r="B68" s="8" t="s">
        <v>117</v>
      </c>
      <c r="C68" s="8" t="s">
        <v>118</v>
      </c>
      <c r="D68" s="8" t="s">
        <v>119</v>
      </c>
      <c r="E68" s="8">
        <v>4</v>
      </c>
      <c r="F68" s="8" t="str">
        <f t="array" ref="F68">IFERROR(_xlfn.XLOOKUP(B68,#REF!,#REF!,""),"")</f>
        <v/>
      </c>
      <c r="G68" s="8" t="str">
        <f t="array" ref="G68">IFERROR(_xlfn.XLOOKUP(B68,#REF!,#REF!,""),"")</f>
        <v/>
      </c>
      <c r="H68" s="8" t="str">
        <f t="array" ref="H68">IFERROR(_xlfn.XLOOKUP(B68,#REF!,#REF!,""),"")</f>
        <v/>
      </c>
      <c r="I68" s="3"/>
      <c r="J68" s="3"/>
    </row>
    <row r="69" spans="1:10" ht="15.75" customHeight="1" x14ac:dyDescent="0.3">
      <c r="A69" s="7">
        <v>65</v>
      </c>
      <c r="B69" s="7" t="s">
        <v>20</v>
      </c>
      <c r="C69" s="7" t="s">
        <v>21</v>
      </c>
      <c r="D69" s="7" t="s">
        <v>23</v>
      </c>
      <c r="E69" s="7">
        <v>53</v>
      </c>
      <c r="F69" s="7" t="str">
        <f t="array" ref="F69">IFERROR(_xlfn.XLOOKUP(B69,#REF!,#REF!,""),"")</f>
        <v/>
      </c>
      <c r="G69" s="7" t="str">
        <f t="array" ref="G69">IFERROR(_xlfn.XLOOKUP(B69,#REF!,#REF!,""),"")</f>
        <v/>
      </c>
      <c r="H69" s="7" t="str">
        <f t="array" ref="H69">IFERROR(_xlfn.XLOOKUP(B69,#REF!,#REF!,""),"")</f>
        <v/>
      </c>
      <c r="I69" s="3"/>
      <c r="J69" s="3"/>
    </row>
    <row r="70" spans="1:10" ht="15.75" customHeight="1" x14ac:dyDescent="0.3">
      <c r="A70" s="8">
        <v>66</v>
      </c>
      <c r="B70" s="8" t="s">
        <v>107</v>
      </c>
      <c r="C70" s="8" t="s">
        <v>21</v>
      </c>
      <c r="D70" s="8" t="s">
        <v>23</v>
      </c>
      <c r="E70" s="8">
        <v>18</v>
      </c>
      <c r="F70" s="8" t="str">
        <f t="array" ref="F70">IFERROR(_xlfn.XLOOKUP(B70,#REF!,#REF!,""),"")</f>
        <v/>
      </c>
      <c r="G70" s="8" t="str">
        <f t="array" ref="G70">IFERROR(_xlfn.XLOOKUP(B70,#REF!,#REF!,""),"")</f>
        <v/>
      </c>
      <c r="H70" s="8" t="str">
        <f t="array" ref="H70">IFERROR(_xlfn.XLOOKUP(B70,#REF!,#REF!,""),"")</f>
        <v/>
      </c>
      <c r="I70" s="3"/>
      <c r="J70" s="3"/>
    </row>
    <row r="71" spans="1:10" ht="15.75" customHeight="1" x14ac:dyDescent="0.3">
      <c r="A71" s="7">
        <v>67</v>
      </c>
      <c r="B71" s="7" t="s">
        <v>100</v>
      </c>
      <c r="C71" s="7" t="s">
        <v>21</v>
      </c>
      <c r="D71" s="7" t="s">
        <v>23</v>
      </c>
      <c r="E71" s="7">
        <v>8</v>
      </c>
      <c r="F71" s="7" t="str">
        <f t="array" ref="F71">IFERROR(_xlfn.XLOOKUP(B71,#REF!,#REF!,""),"")</f>
        <v/>
      </c>
      <c r="G71" s="7" t="str">
        <f t="array" ref="G71">IFERROR(_xlfn.XLOOKUP(B71,#REF!,#REF!,""),"")</f>
        <v/>
      </c>
      <c r="H71" s="7" t="str">
        <f t="array" ref="H71">IFERROR(_xlfn.XLOOKUP(B71,#REF!,#REF!,""),"")</f>
        <v/>
      </c>
      <c r="I71" s="3"/>
      <c r="J71" s="3"/>
    </row>
    <row r="72" spans="1:10" ht="15.75" customHeight="1" x14ac:dyDescent="0.3">
      <c r="A72" s="8">
        <v>68</v>
      </c>
      <c r="B72" s="8" t="s">
        <v>95</v>
      </c>
      <c r="C72" s="8" t="s">
        <v>21</v>
      </c>
      <c r="D72" s="8" t="s">
        <v>23</v>
      </c>
      <c r="E72" s="8">
        <v>2</v>
      </c>
      <c r="F72" s="8" t="str">
        <f t="array" ref="F72">IFERROR(_xlfn.XLOOKUP(B72,#REF!,#REF!,""),"")</f>
        <v/>
      </c>
      <c r="G72" s="8" t="str">
        <f t="array" ref="G72">IFERROR(_xlfn.XLOOKUP(B72,#REF!,#REF!,""),"")</f>
        <v/>
      </c>
      <c r="H72" s="8" t="str">
        <f t="array" ref="H72">IFERROR(_xlfn.XLOOKUP(B72,#REF!,#REF!,""),"")</f>
        <v/>
      </c>
      <c r="I72" s="3"/>
      <c r="J72" s="3"/>
    </row>
    <row r="73" spans="1:10" ht="15.75" customHeight="1" x14ac:dyDescent="0.3">
      <c r="A73" s="7">
        <v>69</v>
      </c>
      <c r="B73" s="7" t="s">
        <v>85</v>
      </c>
      <c r="C73" s="7" t="s">
        <v>21</v>
      </c>
      <c r="D73" s="7" t="s">
        <v>23</v>
      </c>
      <c r="E73" s="7">
        <v>12</v>
      </c>
      <c r="F73" s="7" t="str">
        <f t="array" ref="F73">IFERROR(_xlfn.XLOOKUP(B73,#REF!,#REF!,""),"")</f>
        <v/>
      </c>
      <c r="G73" s="7" t="str">
        <f t="array" ref="G73">IFERROR(_xlfn.XLOOKUP(B73,#REF!,#REF!,""),"")</f>
        <v/>
      </c>
      <c r="H73" s="7" t="str">
        <f t="array" ref="H73">IFERROR(_xlfn.XLOOKUP(B73,#REF!,#REF!,""),"")</f>
        <v/>
      </c>
      <c r="I73" s="3"/>
      <c r="J73" s="3"/>
    </row>
    <row r="74" spans="1:10" ht="15.75" customHeight="1" x14ac:dyDescent="0.3">
      <c r="A74" s="8">
        <v>70</v>
      </c>
      <c r="B74" s="8" t="s">
        <v>80</v>
      </c>
      <c r="C74" s="8" t="s">
        <v>21</v>
      </c>
      <c r="D74" s="8" t="s">
        <v>23</v>
      </c>
      <c r="E74" s="8">
        <v>3</v>
      </c>
      <c r="F74" s="8" t="str">
        <f t="array" ref="F74">IFERROR(_xlfn.XLOOKUP(B74,#REF!,#REF!,""),"")</f>
        <v/>
      </c>
      <c r="G74" s="8" t="str">
        <f t="array" ref="G74">IFERROR(_xlfn.XLOOKUP(B74,#REF!,#REF!,""),"")</f>
        <v/>
      </c>
      <c r="H74" s="8" t="str">
        <f t="array" ref="H74">IFERROR(_xlfn.XLOOKUP(B74,#REF!,#REF!,""),"")</f>
        <v/>
      </c>
      <c r="I74" s="3"/>
      <c r="J74" s="3"/>
    </row>
    <row r="75" spans="1:10" ht="15.75" customHeight="1" x14ac:dyDescent="0.3">
      <c r="A75" s="7">
        <v>71</v>
      </c>
      <c r="B75" s="7" t="s">
        <v>75</v>
      </c>
      <c r="C75" s="7" t="s">
        <v>21</v>
      </c>
      <c r="D75" s="7" t="s">
        <v>23</v>
      </c>
      <c r="E75" s="7">
        <v>13</v>
      </c>
      <c r="F75" s="7" t="str">
        <f t="array" ref="F75">IFERROR(_xlfn.XLOOKUP(B75,#REF!,#REF!,""),"")</f>
        <v/>
      </c>
      <c r="G75" s="7" t="str">
        <f t="array" ref="G75">IFERROR(_xlfn.XLOOKUP(B75,#REF!,#REF!,""),"")</f>
        <v/>
      </c>
      <c r="H75" s="7" t="str">
        <f t="array" ref="H75">IFERROR(_xlfn.XLOOKUP(B75,#REF!,#REF!,""),"")</f>
        <v/>
      </c>
      <c r="I75" s="3"/>
      <c r="J75" s="3"/>
    </row>
    <row r="76" spans="1:10" ht="15.75" customHeight="1" x14ac:dyDescent="0.3">
      <c r="A76" s="8">
        <v>72</v>
      </c>
      <c r="B76" s="8" t="s">
        <v>68</v>
      </c>
      <c r="C76" s="8" t="s">
        <v>21</v>
      </c>
      <c r="D76" s="8" t="s">
        <v>23</v>
      </c>
      <c r="E76" s="8">
        <v>8</v>
      </c>
      <c r="F76" s="8" t="str">
        <f t="array" ref="F76">IFERROR(_xlfn.XLOOKUP(B76,#REF!,#REF!,""),"")</f>
        <v/>
      </c>
      <c r="G76" s="8" t="str">
        <f t="array" ref="G76">IFERROR(_xlfn.XLOOKUP(B76,#REF!,#REF!,""),"")</f>
        <v/>
      </c>
      <c r="H76" s="8" t="str">
        <f t="array" ref="H76">IFERROR(_xlfn.XLOOKUP(B76,#REF!,#REF!,""),"")</f>
        <v/>
      </c>
      <c r="I76" s="3"/>
      <c r="J76" s="3"/>
    </row>
    <row r="77" spans="1:10" ht="15.75" customHeight="1" x14ac:dyDescent="0.3">
      <c r="A77" s="7">
        <v>73</v>
      </c>
      <c r="B77" s="7" t="s">
        <v>61</v>
      </c>
      <c r="C77" s="7" t="s">
        <v>21</v>
      </c>
      <c r="D77" s="7" t="s">
        <v>23</v>
      </c>
      <c r="E77" s="7">
        <v>1</v>
      </c>
      <c r="F77" s="7" t="str">
        <f t="array" ref="F77">IFERROR(_xlfn.XLOOKUP(B77,#REF!,#REF!,""),"")</f>
        <v/>
      </c>
      <c r="G77" s="7" t="str">
        <f t="array" ref="G77">IFERROR(_xlfn.XLOOKUP(B77,#REF!,#REF!,""),"")</f>
        <v/>
      </c>
      <c r="H77" s="7" t="str">
        <f t="array" ref="H77">IFERROR(_xlfn.XLOOKUP(B77,#REF!,#REF!,""),"")</f>
        <v/>
      </c>
      <c r="I77" s="3"/>
      <c r="J77" s="3"/>
    </row>
    <row r="78" spans="1:10" ht="15.75" customHeight="1" x14ac:dyDescent="0.3">
      <c r="A78" s="8">
        <v>74</v>
      </c>
      <c r="B78" s="8" t="s">
        <v>52</v>
      </c>
      <c r="C78" s="8" t="s">
        <v>21</v>
      </c>
      <c r="D78" s="8" t="s">
        <v>23</v>
      </c>
      <c r="E78" s="8">
        <v>2</v>
      </c>
      <c r="F78" s="8" t="str">
        <f t="array" ref="F78">IFERROR(_xlfn.XLOOKUP(B78,#REF!,#REF!,""),"")</f>
        <v/>
      </c>
      <c r="G78" s="8" t="str">
        <f t="array" ref="G78">IFERROR(_xlfn.XLOOKUP(B78,#REF!,#REF!,""),"")</f>
        <v/>
      </c>
      <c r="H78" s="8" t="str">
        <f t="array" ref="H78">IFERROR(_xlfn.XLOOKUP(B78,#REF!,#REF!,""),"")</f>
        <v/>
      </c>
      <c r="I78" s="3"/>
      <c r="J78" s="3"/>
    </row>
    <row r="79" spans="1:10" ht="15.75" customHeight="1" x14ac:dyDescent="0.3">
      <c r="A79" s="7">
        <v>75</v>
      </c>
      <c r="B79" s="7" t="s">
        <v>46</v>
      </c>
      <c r="C79" s="7" t="s">
        <v>21</v>
      </c>
      <c r="D79" s="7" t="s">
        <v>23</v>
      </c>
      <c r="E79" s="7">
        <v>2</v>
      </c>
      <c r="F79" s="7" t="str">
        <f t="array" ref="F79">IFERROR(_xlfn.XLOOKUP(B79,#REF!,#REF!,""),"")</f>
        <v/>
      </c>
      <c r="G79" s="7" t="str">
        <f t="array" ref="G79">IFERROR(_xlfn.XLOOKUP(B79,#REF!,#REF!,""),"")</f>
        <v/>
      </c>
      <c r="H79" s="7" t="str">
        <f t="array" ref="H79">IFERROR(_xlfn.XLOOKUP(B79,#REF!,#REF!,""),"")</f>
        <v/>
      </c>
      <c r="I79" s="3"/>
      <c r="J79" s="3"/>
    </row>
    <row r="80" spans="1:10" ht="15.75" customHeight="1" x14ac:dyDescent="0.3">
      <c r="A80" s="8">
        <v>76</v>
      </c>
      <c r="B80" s="8" t="s">
        <v>40</v>
      </c>
      <c r="C80" s="8" t="s">
        <v>21</v>
      </c>
      <c r="D80" s="8" t="s">
        <v>23</v>
      </c>
      <c r="E80" s="8">
        <v>16</v>
      </c>
      <c r="F80" s="8" t="str">
        <f t="array" ref="F80">IFERROR(_xlfn.XLOOKUP(B80,#REF!,#REF!,""),"")</f>
        <v/>
      </c>
      <c r="G80" s="8" t="str">
        <f t="array" ref="G80">IFERROR(_xlfn.XLOOKUP(B80,#REF!,#REF!,""),"")</f>
        <v/>
      </c>
      <c r="H80" s="8" t="str">
        <f t="array" ref="H80">IFERROR(_xlfn.XLOOKUP(B80,#REF!,#REF!,""),"")</f>
        <v/>
      </c>
      <c r="I80" s="3"/>
      <c r="J80" s="3"/>
    </row>
    <row r="81" spans="1:10" ht="15.75" customHeight="1" x14ac:dyDescent="0.3">
      <c r="A81" s="7">
        <v>77</v>
      </c>
      <c r="B81" s="7" t="s">
        <v>33</v>
      </c>
      <c r="C81" s="7" t="s">
        <v>21</v>
      </c>
      <c r="D81" s="7" t="s">
        <v>23</v>
      </c>
      <c r="E81" s="7">
        <v>2</v>
      </c>
      <c r="F81" s="7" t="str">
        <f t="array" ref="F81">IFERROR(_xlfn.XLOOKUP(B81,#REF!,#REF!,""),"")</f>
        <v/>
      </c>
      <c r="G81" s="7" t="str">
        <f t="array" ref="G81">IFERROR(_xlfn.XLOOKUP(B81,#REF!,#REF!,""),"")</f>
        <v/>
      </c>
      <c r="H81" s="7" t="str">
        <f t="array" ref="H81">IFERROR(_xlfn.XLOOKUP(B81,#REF!,#REF!,""),"")</f>
        <v/>
      </c>
      <c r="I81" s="3"/>
      <c r="J81" s="3"/>
    </row>
    <row r="82" spans="1:10" ht="15.75" customHeight="1" x14ac:dyDescent="0.3">
      <c r="A82" s="8">
        <v>78</v>
      </c>
      <c r="B82" s="8" t="s">
        <v>27</v>
      </c>
      <c r="C82" s="8" t="s">
        <v>21</v>
      </c>
      <c r="D82" s="8" t="s">
        <v>23</v>
      </c>
      <c r="E82" s="8">
        <v>2</v>
      </c>
      <c r="F82" s="8" t="str">
        <f t="array" ref="F82">IFERROR(_xlfn.XLOOKUP(B82,#REF!,#REF!,""),"")</f>
        <v/>
      </c>
      <c r="G82" s="8" t="str">
        <f t="array" ref="G82">IFERROR(_xlfn.XLOOKUP(B82,#REF!,#REF!,""),"")</f>
        <v/>
      </c>
      <c r="H82" s="8" t="str">
        <f t="array" ref="H82">IFERROR(_xlfn.XLOOKUP(B82,#REF!,#REF!,""),"")</f>
        <v/>
      </c>
      <c r="I82" s="3"/>
      <c r="J82" s="3"/>
    </row>
    <row r="83" spans="1:10" ht="15.75" customHeight="1" x14ac:dyDescent="0.3">
      <c r="A83" s="7">
        <v>79</v>
      </c>
      <c r="B83" s="7" t="s">
        <v>16</v>
      </c>
      <c r="C83" s="7" t="s">
        <v>17</v>
      </c>
      <c r="D83" s="7" t="s">
        <v>18</v>
      </c>
      <c r="E83" s="7">
        <v>2</v>
      </c>
      <c r="F83" s="7" t="str">
        <f t="array" ref="F83">IFERROR(_xlfn.XLOOKUP(B83,#REF!,#REF!,""),"")</f>
        <v/>
      </c>
      <c r="G83" s="7" t="str">
        <f t="array" ref="G83">IFERROR(_xlfn.XLOOKUP(B83,#REF!,#REF!,""),"")</f>
        <v/>
      </c>
      <c r="H83" s="7" t="str">
        <f t="array" ref="H83">IFERROR(_xlfn.XLOOKUP(B83,#REF!,#REF!,""),"")</f>
        <v/>
      </c>
      <c r="I83" s="3"/>
      <c r="J83" s="3"/>
    </row>
    <row r="84" spans="1:10" ht="15.75" customHeight="1" x14ac:dyDescent="0.3">
      <c r="I84" s="3"/>
      <c r="J84" s="3"/>
    </row>
    <row r="85" spans="1:10" ht="15.75" customHeight="1" x14ac:dyDescent="0.3">
      <c r="I85" s="3"/>
      <c r="J85" s="3"/>
    </row>
    <row r="86" spans="1:10" ht="15.75" customHeight="1" x14ac:dyDescent="0.3"/>
    <row r="87" spans="1:10" ht="15.75" customHeight="1" x14ac:dyDescent="0.3"/>
    <row r="88" spans="1:10" ht="15.75" customHeight="1" x14ac:dyDescent="0.3"/>
    <row r="89" spans="1:10" ht="15.75" customHeight="1" x14ac:dyDescent="0.3"/>
    <row r="90" spans="1:10" ht="15.75" customHeight="1" x14ac:dyDescent="0.3"/>
    <row r="91" spans="1:10" ht="15.75" customHeight="1" x14ac:dyDescent="0.3"/>
    <row r="92" spans="1:10" ht="15.75" customHeight="1" x14ac:dyDescent="0.3"/>
    <row r="93" spans="1:10" ht="15.75" customHeight="1" x14ac:dyDescent="0.3"/>
    <row r="94" spans="1:10" ht="15.75" customHeight="1" x14ac:dyDescent="0.3"/>
    <row r="95" spans="1:10" ht="15.75" customHeight="1" x14ac:dyDescent="0.3"/>
    <row r="96" spans="1:10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83" xr:uid="{00000000-0009-0000-0000-000002000000}">
    <sortState xmlns:xlrd2="http://schemas.microsoft.com/office/spreadsheetml/2017/richdata2" ref="A5:H83">
      <sortCondition ref="A4:A83"/>
    </sortState>
  </autoFilter>
  <mergeCells count="2">
    <mergeCell ref="A1:H1"/>
    <mergeCell ref="A2:H2"/>
  </mergeCells>
  <conditionalFormatting sqref="G5:G83">
    <cfRule type="expression" dxfId="212" priority="1">
      <formula>G5="OUT OF STOCK"</formula>
    </cfRule>
    <cfRule type="expression" dxfId="211" priority="2">
      <formula>G5="REORDER"</formula>
    </cfRule>
    <cfRule type="expression" dxfId="21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F3" sqref="F3:H9"/>
    </sheetView>
  </sheetViews>
  <sheetFormatPr defaultColWidth="14.453125" defaultRowHeight="15" customHeight="1" x14ac:dyDescent="0.3"/>
  <cols>
    <col min="1" max="1" width="17.36328125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2.4" customHeight="1" x14ac:dyDescent="0.3">
      <c r="A1" s="24" t="s">
        <v>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6.5" x14ac:dyDescent="0.3">
      <c r="A2" s="27" t="s">
        <v>4</v>
      </c>
      <c r="B2" s="27"/>
      <c r="C2" s="27"/>
      <c r="D2" s="27"/>
      <c r="E2" s="27"/>
      <c r="F2" s="27"/>
      <c r="G2" s="27"/>
      <c r="H2" s="27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7">
        <v>1</v>
      </c>
      <c r="B5" s="7" t="s">
        <v>64</v>
      </c>
      <c r="C5" s="7" t="s">
        <v>55</v>
      </c>
      <c r="D5" s="7" t="s">
        <v>56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</row>
    <row r="6" spans="1:10" ht="14" x14ac:dyDescent="0.3">
      <c r="A6" s="8">
        <v>2</v>
      </c>
      <c r="B6" s="8" t="s">
        <v>54</v>
      </c>
      <c r="C6" s="8" t="s">
        <v>55</v>
      </c>
      <c r="D6" s="8" t="s">
        <v>56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42</v>
      </c>
      <c r="C7" s="7" t="s">
        <v>43</v>
      </c>
      <c r="D7" s="7" t="s">
        <v>44</v>
      </c>
      <c r="E7" s="7">
        <v>7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29</v>
      </c>
      <c r="C8" s="8" t="s">
        <v>31</v>
      </c>
      <c r="D8" s="8" t="s">
        <v>32</v>
      </c>
      <c r="E8" s="8">
        <v>7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20</v>
      </c>
      <c r="C9" s="7" t="s">
        <v>21</v>
      </c>
      <c r="D9" s="7" t="s">
        <v>23</v>
      </c>
      <c r="E9" s="7">
        <v>15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I10" s="3"/>
      <c r="J10" s="3"/>
    </row>
    <row r="11" spans="1:10" ht="14" x14ac:dyDescent="0.3">
      <c r="I11" s="3"/>
      <c r="J11" s="3"/>
    </row>
    <row r="17" spans="3:3" ht="15" customHeight="1" x14ac:dyDescent="0.3">
      <c r="C17" s="9" t="s">
        <v>1338</v>
      </c>
    </row>
    <row r="21" spans="3:3" ht="15.75" customHeight="1" x14ac:dyDescent="0.3"/>
    <row r="22" spans="3:3" ht="15.75" customHeight="1" x14ac:dyDescent="0.3"/>
    <row r="23" spans="3:3" ht="15.75" customHeight="1" x14ac:dyDescent="0.3"/>
    <row r="24" spans="3:3" ht="15.75" customHeight="1" x14ac:dyDescent="0.3"/>
    <row r="25" spans="3:3" ht="15.75" customHeight="1" x14ac:dyDescent="0.3"/>
    <row r="26" spans="3:3" ht="15.75" customHeight="1" x14ac:dyDescent="0.3"/>
    <row r="27" spans="3:3" ht="15.75" customHeight="1" x14ac:dyDescent="0.3"/>
    <row r="28" spans="3:3" ht="15.75" customHeight="1" x14ac:dyDescent="0.3"/>
    <row r="29" spans="3:3" ht="15.75" customHeight="1" x14ac:dyDescent="0.3"/>
    <row r="30" spans="3:3" ht="15.75" customHeight="1" x14ac:dyDescent="0.3"/>
    <row r="31" spans="3:3" ht="15.75" customHeight="1" x14ac:dyDescent="0.3"/>
    <row r="32" spans="3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9" xr:uid="{00000000-0009-0000-0000-000003000000}">
    <sortState xmlns:xlrd2="http://schemas.microsoft.com/office/spreadsheetml/2017/richdata2" ref="A5:H9">
      <sortCondition ref="A4:A9"/>
    </sortState>
  </autoFilter>
  <mergeCells count="2">
    <mergeCell ref="A1:H1"/>
    <mergeCell ref="A2:H2"/>
  </mergeCells>
  <conditionalFormatting sqref="G5:G9">
    <cfRule type="expression" dxfId="209" priority="1">
      <formula>G5="OUT OF STOCK"</formula>
    </cfRule>
    <cfRule type="expression" dxfId="208" priority="2">
      <formula>G5="REORDER"</formula>
    </cfRule>
    <cfRule type="expression" dxfId="20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B17" sqref="B17"/>
    </sheetView>
  </sheetViews>
  <sheetFormatPr defaultColWidth="14.453125" defaultRowHeight="15" customHeight="1" x14ac:dyDescent="0.3"/>
  <cols>
    <col min="1" max="1" width="16.453125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6.4" customHeight="1" x14ac:dyDescent="0.3">
      <c r="A1" s="24" t="s">
        <v>25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7">
        <v>1</v>
      </c>
      <c r="B5" s="7" t="s">
        <v>19</v>
      </c>
      <c r="C5" s="7" t="s">
        <v>22</v>
      </c>
      <c r="D5" s="7" t="s">
        <v>24</v>
      </c>
      <c r="E5" s="7">
        <v>4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</row>
    <row r="6" spans="1:10" ht="14" x14ac:dyDescent="0.3">
      <c r="A6" s="8">
        <v>2</v>
      </c>
      <c r="B6" s="8" t="s">
        <v>71</v>
      </c>
      <c r="C6" s="8" t="s">
        <v>72</v>
      </c>
      <c r="D6" s="8" t="s">
        <v>73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210</v>
      </c>
      <c r="C7" s="7" t="s">
        <v>72</v>
      </c>
      <c r="D7" s="7" t="s">
        <v>73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206</v>
      </c>
      <c r="C8" s="8" t="s">
        <v>72</v>
      </c>
      <c r="D8" s="8" t="s">
        <v>73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199</v>
      </c>
      <c r="C9" s="7" t="s">
        <v>55</v>
      </c>
      <c r="D9" s="7" t="s">
        <v>56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190</v>
      </c>
      <c r="C10" s="8" t="s">
        <v>43</v>
      </c>
      <c r="D10" s="8" t="s">
        <v>44</v>
      </c>
      <c r="E10" s="8">
        <v>4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184</v>
      </c>
      <c r="C11" s="7" t="s">
        <v>31</v>
      </c>
      <c r="D11" s="7" t="s">
        <v>32</v>
      </c>
      <c r="E11" s="7">
        <v>4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176</v>
      </c>
      <c r="C12" s="8" t="s">
        <v>177</v>
      </c>
      <c r="D12" s="8" t="s">
        <v>177</v>
      </c>
      <c r="E12" s="8">
        <v>2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29</v>
      </c>
      <c r="C13" s="7" t="s">
        <v>31</v>
      </c>
      <c r="D13" s="7" t="s">
        <v>32</v>
      </c>
      <c r="E13" s="7">
        <v>4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I14" s="3"/>
      <c r="J14" s="3"/>
    </row>
    <row r="15" spans="1:10" ht="14" x14ac:dyDescent="0.3">
      <c r="I15" s="3"/>
      <c r="J15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13" xr:uid="{00000000-0009-0000-0000-000004000000}">
    <sortState xmlns:xlrd2="http://schemas.microsoft.com/office/spreadsheetml/2017/richdata2" ref="A5:H13">
      <sortCondition ref="A4:A13"/>
    </sortState>
  </autoFilter>
  <mergeCells count="2">
    <mergeCell ref="A1:H1"/>
    <mergeCell ref="A2:H2"/>
  </mergeCells>
  <conditionalFormatting sqref="G5:G13">
    <cfRule type="expression" dxfId="206" priority="1">
      <formula>G5="OUT OF STOCK"</formula>
    </cfRule>
    <cfRule type="expression" dxfId="205" priority="2">
      <formula>G5="REORDER"</formula>
    </cfRule>
    <cfRule type="expression" dxfId="20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F16" sqref="F16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9.4" customHeight="1" x14ac:dyDescent="0.3">
      <c r="A1" s="24" t="s">
        <v>28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30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7">
        <v>1</v>
      </c>
      <c r="B5" s="7" t="s">
        <v>45</v>
      </c>
      <c r="C5" s="7" t="s">
        <v>321</v>
      </c>
      <c r="D5" s="7" t="s">
        <v>322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</row>
    <row r="6" spans="1:10" ht="14" x14ac:dyDescent="0.3">
      <c r="A6" s="8">
        <v>2</v>
      </c>
      <c r="B6" s="8" t="s">
        <v>48</v>
      </c>
      <c r="C6" s="8" t="s">
        <v>321</v>
      </c>
      <c r="D6" s="8" t="s">
        <v>322</v>
      </c>
      <c r="E6" s="8">
        <v>2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57</v>
      </c>
      <c r="C7" s="7" t="s">
        <v>321</v>
      </c>
      <c r="D7" s="7" t="s">
        <v>322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59</v>
      </c>
      <c r="C8" s="8" t="s">
        <v>321</v>
      </c>
      <c r="D8" s="8" t="s">
        <v>322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66</v>
      </c>
      <c r="C9" s="7" t="s">
        <v>321</v>
      </c>
      <c r="D9" s="7" t="s">
        <v>322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69</v>
      </c>
      <c r="C10" s="8" t="s">
        <v>321</v>
      </c>
      <c r="D10" s="8" t="s">
        <v>322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326</v>
      </c>
      <c r="C11" s="7" t="s">
        <v>321</v>
      </c>
      <c r="D11" s="7" t="s">
        <v>322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320</v>
      </c>
      <c r="C12" s="8" t="s">
        <v>321</v>
      </c>
      <c r="D12" s="8" t="s">
        <v>322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130</v>
      </c>
      <c r="C13" s="7" t="s">
        <v>316</v>
      </c>
      <c r="D13" s="7" t="s">
        <v>317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310</v>
      </c>
      <c r="C14" s="8" t="s">
        <v>311</v>
      </c>
      <c r="D14" s="8" t="s">
        <v>313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184</v>
      </c>
      <c r="C15" s="7" t="s">
        <v>31</v>
      </c>
      <c r="D15" s="7" t="s">
        <v>32</v>
      </c>
      <c r="E15" s="7">
        <v>4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29</v>
      </c>
      <c r="C16" s="8" t="s">
        <v>31</v>
      </c>
      <c r="D16" s="8" t="s">
        <v>32</v>
      </c>
      <c r="E16" s="8">
        <v>4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301</v>
      </c>
      <c r="C17" s="7" t="s">
        <v>21</v>
      </c>
      <c r="D17" s="7" t="s">
        <v>23</v>
      </c>
      <c r="E17" s="7">
        <v>4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I18" s="3"/>
      <c r="J18" s="3"/>
    </row>
    <row r="19" spans="1:10" ht="14" x14ac:dyDescent="0.3">
      <c r="I19" s="3"/>
      <c r="J19" s="3"/>
    </row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17" xr:uid="{00000000-0009-0000-0000-000005000000}">
    <sortState xmlns:xlrd2="http://schemas.microsoft.com/office/spreadsheetml/2017/richdata2" ref="A5:H17">
      <sortCondition ref="A4:A17"/>
    </sortState>
  </autoFilter>
  <mergeCells count="2">
    <mergeCell ref="A1:H1"/>
    <mergeCell ref="A2:H2"/>
  </mergeCells>
  <conditionalFormatting sqref="G5:G17">
    <cfRule type="expression" dxfId="203" priority="1">
      <formula>G5="OUT OF STOCK"</formula>
    </cfRule>
    <cfRule type="expression" dxfId="202" priority="2">
      <formula>G5="REORDER"</formula>
    </cfRule>
    <cfRule type="expression" dxfId="20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000"/>
  <sheetViews>
    <sheetView showGridLines="0" workbookViewId="0">
      <pane ySplit="6" topLeftCell="A11" activePane="bottomLeft" state="frozen"/>
      <selection pane="bottomLeft" activeCell="E12" sqref="E1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25" customHeight="1" x14ac:dyDescent="0.3">
      <c r="A1" s="24" t="s">
        <v>34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35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" x14ac:dyDescent="0.3">
      <c r="A6" s="7">
        <v>2</v>
      </c>
      <c r="B6" s="7" t="s">
        <v>379</v>
      </c>
      <c r="C6" s="7" t="s">
        <v>380</v>
      </c>
      <c r="D6" s="7" t="s">
        <v>126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375</v>
      </c>
      <c r="C7" s="8" t="s">
        <v>373</v>
      </c>
      <c r="D7" s="8" t="s">
        <v>374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372</v>
      </c>
      <c r="C8" s="7" t="s">
        <v>373</v>
      </c>
      <c r="D8" s="7" t="s">
        <v>374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370</v>
      </c>
      <c r="C9" s="8" t="s">
        <v>192</v>
      </c>
      <c r="D9" s="8" t="s">
        <v>193</v>
      </c>
      <c r="E9" s="8">
        <v>2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368</v>
      </c>
      <c r="C10" s="7" t="s">
        <v>311</v>
      </c>
      <c r="D10" s="7" t="s">
        <v>313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366</v>
      </c>
      <c r="C11" s="8" t="s">
        <v>290</v>
      </c>
      <c r="D11" s="8" t="s">
        <v>291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365</v>
      </c>
      <c r="C12" s="7" t="s">
        <v>72</v>
      </c>
      <c r="D12" s="7" t="s">
        <v>73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364</v>
      </c>
      <c r="C13" s="8" t="s">
        <v>266</v>
      </c>
      <c r="D13" s="8" t="s">
        <v>267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358</v>
      </c>
      <c r="C14" s="7" t="s">
        <v>359</v>
      </c>
      <c r="D14" s="7" t="s">
        <v>360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42</v>
      </c>
      <c r="C15" s="8" t="s">
        <v>43</v>
      </c>
      <c r="D15" s="8" t="s">
        <v>44</v>
      </c>
      <c r="E15" s="8">
        <v>4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354</v>
      </c>
      <c r="C16" s="7" t="s">
        <v>63</v>
      </c>
      <c r="D16" s="7" t="s">
        <v>65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348</v>
      </c>
      <c r="C17" s="8" t="s">
        <v>349</v>
      </c>
      <c r="D17" s="8" t="s">
        <v>350</v>
      </c>
      <c r="E17" s="8">
        <v>2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180</v>
      </c>
      <c r="C18" s="7" t="s">
        <v>31</v>
      </c>
      <c r="D18" s="7" t="s">
        <v>32</v>
      </c>
      <c r="E18" s="7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4" x14ac:dyDescent="0.3">
      <c r="A19" s="8">
        <v>15</v>
      </c>
      <c r="B19" s="8" t="s">
        <v>29</v>
      </c>
      <c r="C19" s="8" t="s">
        <v>31</v>
      </c>
      <c r="D19" s="8" t="s">
        <v>32</v>
      </c>
      <c r="E19" s="8">
        <v>8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4" x14ac:dyDescent="0.3">
      <c r="A20" s="7">
        <v>16</v>
      </c>
      <c r="B20" s="7" t="s">
        <v>337</v>
      </c>
      <c r="C20" s="7" t="s">
        <v>21</v>
      </c>
      <c r="D20" s="7" t="s">
        <v>23</v>
      </c>
      <c r="E20" s="7">
        <v>4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334</v>
      </c>
      <c r="C21" s="8" t="s">
        <v>21</v>
      </c>
      <c r="D21" s="8" t="s">
        <v>23</v>
      </c>
      <c r="E21" s="8">
        <v>4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323</v>
      </c>
      <c r="C22" s="7" t="s">
        <v>21</v>
      </c>
      <c r="D22" s="7" t="s">
        <v>23</v>
      </c>
      <c r="E22" s="7">
        <v>2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314</v>
      </c>
      <c r="C23" s="8" t="s">
        <v>21</v>
      </c>
      <c r="D23" s="8" t="s">
        <v>23</v>
      </c>
      <c r="E23" s="8">
        <v>2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301</v>
      </c>
      <c r="C24" s="7" t="s">
        <v>21</v>
      </c>
      <c r="D24" s="7" t="s">
        <v>23</v>
      </c>
      <c r="E24" s="7">
        <v>4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I25" s="3"/>
      <c r="J25" s="3"/>
    </row>
    <row r="26" spans="1:10" ht="15.75" customHeight="1" x14ac:dyDescent="0.3">
      <c r="I26" s="3"/>
      <c r="J26" s="3"/>
    </row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24" xr:uid="{00000000-0009-0000-0000-000006000000}">
    <sortState xmlns:xlrd2="http://schemas.microsoft.com/office/spreadsheetml/2017/richdata2" ref="A5:H24">
      <sortCondition ref="A4:A24"/>
    </sortState>
  </autoFilter>
  <mergeCells count="2">
    <mergeCell ref="A1:H1"/>
    <mergeCell ref="A2:H2"/>
  </mergeCells>
  <conditionalFormatting sqref="G5:G24">
    <cfRule type="expression" dxfId="200" priority="1">
      <formula>G5="OUT OF STOCK"</formula>
    </cfRule>
    <cfRule type="expression" dxfId="199" priority="2">
      <formula>G5="REORDER"</formula>
    </cfRule>
    <cfRule type="expression" dxfId="198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000"/>
  <sheetViews>
    <sheetView showGridLines="0" workbookViewId="0">
      <pane ySplit="6" topLeftCell="A12" activePane="bottomLeft" state="frozen"/>
      <selection pane="bottomLeft" activeCell="F19" sqref="F1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2.4" customHeight="1" x14ac:dyDescent="0.3">
      <c r="A1" s="24" t="s">
        <v>39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41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7">
        <v>1</v>
      </c>
      <c r="B5" s="7" t="s">
        <v>62</v>
      </c>
      <c r="C5" s="7" t="s">
        <v>63</v>
      </c>
      <c r="D5" s="7" t="s">
        <v>65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</row>
    <row r="6" spans="1:10" ht="14" x14ac:dyDescent="0.3">
      <c r="A6" s="8">
        <v>2</v>
      </c>
      <c r="B6" s="8" t="s">
        <v>379</v>
      </c>
      <c r="C6" s="8" t="s">
        <v>380</v>
      </c>
      <c r="D6" s="8" t="s">
        <v>126</v>
      </c>
      <c r="E6" s="8">
        <v>2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392</v>
      </c>
      <c r="C7" s="7" t="s">
        <v>373</v>
      </c>
      <c r="D7" s="7" t="s">
        <v>374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370</v>
      </c>
      <c r="C8" s="8" t="s">
        <v>192</v>
      </c>
      <c r="D8" s="8" t="s">
        <v>193</v>
      </c>
      <c r="E8" s="8">
        <v>2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390</v>
      </c>
      <c r="C9" s="7" t="s">
        <v>272</v>
      </c>
      <c r="D9" s="7" t="s">
        <v>273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366</v>
      </c>
      <c r="C10" s="8" t="s">
        <v>290</v>
      </c>
      <c r="D10" s="8" t="s">
        <v>291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365</v>
      </c>
      <c r="C11" s="7" t="s">
        <v>72</v>
      </c>
      <c r="D11" s="7" t="s">
        <v>73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364</v>
      </c>
      <c r="C12" s="8" t="s">
        <v>266</v>
      </c>
      <c r="D12" s="8" t="s">
        <v>267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358</v>
      </c>
      <c r="C13" s="7" t="s">
        <v>359</v>
      </c>
      <c r="D13" s="7" t="s">
        <v>360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386</v>
      </c>
      <c r="C14" s="8" t="s">
        <v>43</v>
      </c>
      <c r="D14" s="8" t="s">
        <v>44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42</v>
      </c>
      <c r="C15" s="7" t="s">
        <v>43</v>
      </c>
      <c r="D15" s="7" t="s">
        <v>44</v>
      </c>
      <c r="E15" s="7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354</v>
      </c>
      <c r="C16" s="8" t="s">
        <v>63</v>
      </c>
      <c r="D16" s="8" t="s">
        <v>65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348</v>
      </c>
      <c r="C17" s="7" t="s">
        <v>349</v>
      </c>
      <c r="D17" s="7" t="s">
        <v>350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382</v>
      </c>
      <c r="C18" s="8" t="s">
        <v>31</v>
      </c>
      <c r="D18" s="8" t="s">
        <v>32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4" x14ac:dyDescent="0.3">
      <c r="A19" s="7">
        <v>15</v>
      </c>
      <c r="B19" s="7" t="s">
        <v>29</v>
      </c>
      <c r="C19" s="7" t="s">
        <v>31</v>
      </c>
      <c r="D19" s="7" t="s">
        <v>32</v>
      </c>
      <c r="E19" s="7">
        <v>6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4" x14ac:dyDescent="0.3">
      <c r="A20" s="8">
        <v>16</v>
      </c>
      <c r="B20" s="8" t="s">
        <v>337</v>
      </c>
      <c r="C20" s="8" t="s">
        <v>21</v>
      </c>
      <c r="D20" s="8" t="s">
        <v>23</v>
      </c>
      <c r="E20" s="8">
        <v>4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334</v>
      </c>
      <c r="C21" s="7" t="s">
        <v>21</v>
      </c>
      <c r="D21" s="7" t="s">
        <v>23</v>
      </c>
      <c r="E21" s="7">
        <v>4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323</v>
      </c>
      <c r="C22" s="8" t="s">
        <v>21</v>
      </c>
      <c r="D22" s="8" t="s">
        <v>23</v>
      </c>
      <c r="E22" s="8">
        <v>2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301</v>
      </c>
      <c r="C23" s="7" t="s">
        <v>21</v>
      </c>
      <c r="D23" s="7" t="s">
        <v>23</v>
      </c>
      <c r="E23" s="7">
        <v>4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I24" s="3"/>
      <c r="J24" s="3"/>
    </row>
    <row r="25" spans="1:10" ht="15.75" customHeight="1" x14ac:dyDescent="0.3">
      <c r="I25" s="3"/>
      <c r="J25" s="3"/>
    </row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23" xr:uid="{00000000-0009-0000-0000-000007000000}">
    <sortState xmlns:xlrd2="http://schemas.microsoft.com/office/spreadsheetml/2017/richdata2" ref="A5:H23">
      <sortCondition ref="A4:A23"/>
    </sortState>
  </autoFilter>
  <mergeCells count="2">
    <mergeCell ref="A1:H1"/>
    <mergeCell ref="A2:H2"/>
  </mergeCells>
  <conditionalFormatting sqref="G5:G23">
    <cfRule type="expression" dxfId="197" priority="1">
      <formula>G5="OUT OF STOCK"</formula>
    </cfRule>
    <cfRule type="expression" dxfId="196" priority="2">
      <formula>G5="REORDER"</formula>
    </cfRule>
    <cfRule type="expression" dxfId="195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F9" sqref="F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6.4" customHeight="1" x14ac:dyDescent="0.3">
      <c r="A1" s="24" t="s">
        <v>45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47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" x14ac:dyDescent="0.3">
      <c r="A6" s="7">
        <v>2</v>
      </c>
      <c r="B6" s="7" t="s">
        <v>379</v>
      </c>
      <c r="C6" s="7" t="s">
        <v>380</v>
      </c>
      <c r="D6" s="7" t="s">
        <v>126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413</v>
      </c>
      <c r="C7" s="8" t="s">
        <v>373</v>
      </c>
      <c r="D7" s="8" t="s">
        <v>374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409</v>
      </c>
      <c r="C8" s="7" t="s">
        <v>192</v>
      </c>
      <c r="D8" s="7" t="s">
        <v>193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390</v>
      </c>
      <c r="C9" s="8" t="s">
        <v>272</v>
      </c>
      <c r="D9" s="8" t="s">
        <v>273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366</v>
      </c>
      <c r="C10" s="7" t="s">
        <v>290</v>
      </c>
      <c r="D10" s="7" t="s">
        <v>291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365</v>
      </c>
      <c r="C11" s="8" t="s">
        <v>72</v>
      </c>
      <c r="D11" s="8" t="s">
        <v>73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364</v>
      </c>
      <c r="C12" s="7" t="s">
        <v>266</v>
      </c>
      <c r="D12" s="7" t="s">
        <v>267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358</v>
      </c>
      <c r="C13" s="8" t="s">
        <v>359</v>
      </c>
      <c r="D13" s="8" t="s">
        <v>360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386</v>
      </c>
      <c r="C14" s="7" t="s">
        <v>43</v>
      </c>
      <c r="D14" s="7" t="s">
        <v>44</v>
      </c>
      <c r="E14" s="7">
        <v>2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42</v>
      </c>
      <c r="C15" s="8" t="s">
        <v>43</v>
      </c>
      <c r="D15" s="8" t="s">
        <v>44</v>
      </c>
      <c r="E15" s="8">
        <v>4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354</v>
      </c>
      <c r="C16" s="7" t="s">
        <v>63</v>
      </c>
      <c r="D16" s="7" t="s">
        <v>65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348</v>
      </c>
      <c r="C17" s="8" t="s">
        <v>349</v>
      </c>
      <c r="D17" s="8" t="s">
        <v>350</v>
      </c>
      <c r="E17" s="8">
        <v>4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382</v>
      </c>
      <c r="C18" s="7" t="s">
        <v>31</v>
      </c>
      <c r="D18" s="7" t="s">
        <v>32</v>
      </c>
      <c r="E18" s="7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4" x14ac:dyDescent="0.3">
      <c r="A19" s="8">
        <v>15</v>
      </c>
      <c r="B19" s="8" t="s">
        <v>29</v>
      </c>
      <c r="C19" s="8" t="s">
        <v>31</v>
      </c>
      <c r="D19" s="8" t="s">
        <v>32</v>
      </c>
      <c r="E19" s="8">
        <v>8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4" x14ac:dyDescent="0.3">
      <c r="A20" s="7">
        <v>16</v>
      </c>
      <c r="B20" s="7" t="s">
        <v>337</v>
      </c>
      <c r="C20" s="7" t="s">
        <v>21</v>
      </c>
      <c r="D20" s="7" t="s">
        <v>23</v>
      </c>
      <c r="E20" s="7">
        <v>4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323</v>
      </c>
      <c r="C21" s="8" t="s">
        <v>21</v>
      </c>
      <c r="D21" s="8" t="s">
        <v>23</v>
      </c>
      <c r="E21" s="8">
        <v>6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301</v>
      </c>
      <c r="C22" s="7" t="s">
        <v>21</v>
      </c>
      <c r="D22" s="7" t="s">
        <v>23</v>
      </c>
      <c r="E22" s="7">
        <v>4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I23" s="3"/>
      <c r="J23" s="3"/>
    </row>
    <row r="24" spans="1:10" ht="15.75" customHeight="1" x14ac:dyDescent="0.3">
      <c r="I24" s="3"/>
      <c r="J24" s="3"/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22" xr:uid="{00000000-0009-0000-0000-000008000000}">
    <sortState xmlns:xlrd2="http://schemas.microsoft.com/office/spreadsheetml/2017/richdata2" ref="A5:H22">
      <sortCondition ref="A4:A22"/>
    </sortState>
  </autoFilter>
  <mergeCells count="2">
    <mergeCell ref="A1:H1"/>
    <mergeCell ref="A2:H2"/>
  </mergeCells>
  <conditionalFormatting sqref="G5:G22">
    <cfRule type="expression" dxfId="194" priority="1">
      <formula>G5="OUT OF STOCK"</formula>
    </cfRule>
    <cfRule type="expression" dxfId="193" priority="2">
      <formula>G5="REORDER"</formula>
    </cfRule>
    <cfRule type="expression" dxfId="19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B17" sqref="B17"/>
    </sheetView>
  </sheetViews>
  <sheetFormatPr defaultColWidth="14.453125" defaultRowHeight="15" customHeight="1" x14ac:dyDescent="0.3"/>
  <cols>
    <col min="1" max="1" width="23.26953125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25" customHeight="1" x14ac:dyDescent="0.3">
      <c r="A1" s="24" t="s">
        <v>48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28.75" customHeight="1" x14ac:dyDescent="0.3">
      <c r="A2" s="27" t="s">
        <v>49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" x14ac:dyDescent="0.3">
      <c r="A6" s="7">
        <v>2</v>
      </c>
      <c r="B6" s="7" t="s">
        <v>404</v>
      </c>
      <c r="C6" s="7" t="s">
        <v>373</v>
      </c>
      <c r="D6" s="7" t="s">
        <v>374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366</v>
      </c>
      <c r="C7" s="8" t="s">
        <v>290</v>
      </c>
      <c r="D7" s="8" t="s">
        <v>291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354</v>
      </c>
      <c r="C8" s="7" t="s">
        <v>63</v>
      </c>
      <c r="D8" s="7" t="s">
        <v>65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29</v>
      </c>
      <c r="C9" s="8" t="s">
        <v>31</v>
      </c>
      <c r="D9" s="8" t="s">
        <v>32</v>
      </c>
      <c r="E9" s="8">
        <v>4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337</v>
      </c>
      <c r="C10" s="7" t="s">
        <v>21</v>
      </c>
      <c r="D10" s="7" t="s">
        <v>23</v>
      </c>
      <c r="E10" s="7">
        <v>4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323</v>
      </c>
      <c r="C11" s="8" t="s">
        <v>21</v>
      </c>
      <c r="D11" s="8" t="s">
        <v>23</v>
      </c>
      <c r="E11" s="8">
        <v>2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301</v>
      </c>
      <c r="C12" s="7" t="s">
        <v>21</v>
      </c>
      <c r="D12" s="7" t="s">
        <v>23</v>
      </c>
      <c r="E12" s="7">
        <v>4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I13" s="3"/>
      <c r="J13" s="3"/>
    </row>
    <row r="14" spans="1:10" ht="14" x14ac:dyDescent="0.3">
      <c r="I14" s="3"/>
      <c r="J14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12" xr:uid="{00000000-0009-0000-0000-000009000000}">
    <sortState xmlns:xlrd2="http://schemas.microsoft.com/office/spreadsheetml/2017/richdata2" ref="A5:H12">
      <sortCondition ref="A4:A12"/>
    </sortState>
  </autoFilter>
  <mergeCells count="2">
    <mergeCell ref="A1:H1"/>
    <mergeCell ref="A2:H2"/>
  </mergeCells>
  <conditionalFormatting sqref="G5:G12">
    <cfRule type="expression" dxfId="191" priority="1">
      <formula>G5="OUT OF STOCK"</formula>
    </cfRule>
    <cfRule type="expression" dxfId="190" priority="2">
      <formula>G5="REORDER"</formula>
    </cfRule>
    <cfRule type="expression" dxfId="189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000"/>
  <sheetViews>
    <sheetView showGridLines="0" workbookViewId="0">
      <pane ySplit="6" topLeftCell="A12" activePane="bottomLeft" state="frozen"/>
      <selection pane="bottomLeft" activeCell="F14" sqref="F14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6.4" customHeight="1" x14ac:dyDescent="0.3">
      <c r="A1" s="24" t="s">
        <v>57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58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" x14ac:dyDescent="0.3">
      <c r="A6" s="7">
        <v>2</v>
      </c>
      <c r="B6" s="7" t="s">
        <v>379</v>
      </c>
      <c r="C6" s="7" t="s">
        <v>380</v>
      </c>
      <c r="D6" s="7" t="s">
        <v>126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417</v>
      </c>
      <c r="C7" s="8" t="s">
        <v>272</v>
      </c>
      <c r="D7" s="8" t="s">
        <v>273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416</v>
      </c>
      <c r="C8" s="7" t="s">
        <v>373</v>
      </c>
      <c r="D8" s="7" t="s">
        <v>374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409</v>
      </c>
      <c r="C9" s="8" t="s">
        <v>192</v>
      </c>
      <c r="D9" s="8" t="s">
        <v>193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414</v>
      </c>
      <c r="C10" s="7" t="s">
        <v>272</v>
      </c>
      <c r="D10" s="7" t="s">
        <v>273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411</v>
      </c>
      <c r="C11" s="8" t="s">
        <v>192</v>
      </c>
      <c r="D11" s="8" t="s">
        <v>193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366</v>
      </c>
      <c r="C12" s="7" t="s">
        <v>290</v>
      </c>
      <c r="D12" s="7" t="s">
        <v>291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365</v>
      </c>
      <c r="C13" s="8" t="s">
        <v>72</v>
      </c>
      <c r="D13" s="8" t="s">
        <v>73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364</v>
      </c>
      <c r="C14" s="7" t="s">
        <v>266</v>
      </c>
      <c r="D14" s="7" t="s">
        <v>267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358</v>
      </c>
      <c r="C15" s="8" t="s">
        <v>359</v>
      </c>
      <c r="D15" s="8" t="s">
        <v>360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386</v>
      </c>
      <c r="C16" s="7" t="s">
        <v>43</v>
      </c>
      <c r="D16" s="7" t="s">
        <v>44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42</v>
      </c>
      <c r="C17" s="8" t="s">
        <v>43</v>
      </c>
      <c r="D17" s="8" t="s">
        <v>44</v>
      </c>
      <c r="E17" s="8">
        <v>3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184</v>
      </c>
      <c r="C18" s="7" t="s">
        <v>31</v>
      </c>
      <c r="D18" s="7" t="s">
        <v>32</v>
      </c>
      <c r="E18" s="7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4" x14ac:dyDescent="0.3">
      <c r="A19" s="8">
        <v>15</v>
      </c>
      <c r="B19" s="8" t="s">
        <v>354</v>
      </c>
      <c r="C19" s="8" t="s">
        <v>63</v>
      </c>
      <c r="D19" s="8" t="s">
        <v>65</v>
      </c>
      <c r="E19" s="8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4" x14ac:dyDescent="0.3">
      <c r="A20" s="7">
        <v>16</v>
      </c>
      <c r="B20" s="7" t="s">
        <v>348</v>
      </c>
      <c r="C20" s="7" t="s">
        <v>349</v>
      </c>
      <c r="D20" s="7" t="s">
        <v>350</v>
      </c>
      <c r="E20" s="7">
        <v>3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382</v>
      </c>
      <c r="C21" s="8" t="s">
        <v>31</v>
      </c>
      <c r="D21" s="8" t="s">
        <v>32</v>
      </c>
      <c r="E21" s="8">
        <v>2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29</v>
      </c>
      <c r="C22" s="7" t="s">
        <v>31</v>
      </c>
      <c r="D22" s="7" t="s">
        <v>32</v>
      </c>
      <c r="E22" s="7">
        <v>9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337</v>
      </c>
      <c r="C23" s="8" t="s">
        <v>21</v>
      </c>
      <c r="D23" s="8" t="s">
        <v>23</v>
      </c>
      <c r="E23" s="8">
        <v>4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334</v>
      </c>
      <c r="C24" s="7" t="s">
        <v>21</v>
      </c>
      <c r="D24" s="7" t="s">
        <v>23</v>
      </c>
      <c r="E24" s="7">
        <v>2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323</v>
      </c>
      <c r="C25" s="8" t="s">
        <v>21</v>
      </c>
      <c r="D25" s="8" t="s">
        <v>23</v>
      </c>
      <c r="E25" s="8">
        <v>4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301</v>
      </c>
      <c r="C26" s="7" t="s">
        <v>21</v>
      </c>
      <c r="D26" s="7" t="s">
        <v>23</v>
      </c>
      <c r="E26" s="7">
        <v>6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I27" s="3"/>
      <c r="J27" s="3"/>
    </row>
    <row r="28" spans="1:10" ht="15.75" customHeight="1" x14ac:dyDescent="0.3">
      <c r="I28" s="3"/>
      <c r="J28" s="3"/>
    </row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26" xr:uid="{00000000-0009-0000-0000-00000A000000}">
    <sortState xmlns:xlrd2="http://schemas.microsoft.com/office/spreadsheetml/2017/richdata2" ref="A5:H26">
      <sortCondition ref="A4:A26"/>
    </sortState>
  </autoFilter>
  <mergeCells count="2">
    <mergeCell ref="A1:H1"/>
    <mergeCell ref="A2:H2"/>
  </mergeCells>
  <conditionalFormatting sqref="G5:G26">
    <cfRule type="expression" dxfId="188" priority="1">
      <formula>G5="OUT OF STOCK"</formula>
    </cfRule>
    <cfRule type="expression" dxfId="187" priority="2">
      <formula>G5="REORDER"</formula>
    </cfRule>
    <cfRule type="expression" dxfId="18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F18" sqref="F18"/>
    </sheetView>
  </sheetViews>
  <sheetFormatPr defaultColWidth="14.453125" defaultRowHeight="15" customHeight="1" x14ac:dyDescent="0.35"/>
  <cols>
    <col min="1" max="1" width="12" customWidth="1"/>
    <col min="2" max="2" width="22" customWidth="1"/>
    <col min="3" max="3" width="28" customWidth="1"/>
    <col min="4" max="4" width="34" customWidth="1"/>
    <col min="5" max="5" width="12" customWidth="1"/>
    <col min="6" max="7" width="16" customWidth="1"/>
    <col min="8" max="8" width="15" customWidth="1"/>
    <col min="9" max="26" width="8.6328125" customWidth="1"/>
  </cols>
  <sheetData>
    <row r="1" spans="1:10" ht="24.65" customHeight="1" x14ac:dyDescent="0.35">
      <c r="A1" s="29" t="s">
        <v>59</v>
      </c>
      <c r="B1" s="30"/>
      <c r="C1" s="30"/>
      <c r="D1" s="30"/>
      <c r="E1" s="30"/>
      <c r="F1" s="30"/>
      <c r="G1" s="30"/>
      <c r="H1" s="31"/>
      <c r="I1" s="1"/>
      <c r="J1" s="2"/>
    </row>
    <row r="2" spans="1:10" ht="14.5" x14ac:dyDescent="0.35">
      <c r="A2" s="32" t="s">
        <v>60</v>
      </c>
      <c r="B2" s="33"/>
      <c r="C2" s="33"/>
      <c r="D2" s="33"/>
      <c r="E2" s="33"/>
      <c r="F2" s="33"/>
      <c r="G2" s="33"/>
      <c r="H2" s="33"/>
      <c r="I2" s="1"/>
      <c r="J2" s="1"/>
    </row>
    <row r="3" spans="1:10" ht="14.5" x14ac:dyDescent="0.35">
      <c r="A3" s="1"/>
      <c r="B3" s="1"/>
    </row>
    <row r="4" spans="1:10" ht="14.5" x14ac:dyDescent="0.35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.5" x14ac:dyDescent="0.35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.5" x14ac:dyDescent="0.35">
      <c r="A6" s="7">
        <v>2</v>
      </c>
      <c r="B6" s="7" t="s">
        <v>379</v>
      </c>
      <c r="C6" s="7" t="s">
        <v>380</v>
      </c>
      <c r="D6" s="7" t="s">
        <v>126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1"/>
      <c r="J6" s="1"/>
    </row>
    <row r="7" spans="1:10" ht="14.5" x14ac:dyDescent="0.35">
      <c r="A7" s="8">
        <v>3</v>
      </c>
      <c r="B7" s="8" t="s">
        <v>431</v>
      </c>
      <c r="C7" s="8" t="s">
        <v>272</v>
      </c>
      <c r="D7" s="8" t="s">
        <v>273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1"/>
      <c r="J7" s="1"/>
    </row>
    <row r="8" spans="1:10" ht="14.5" x14ac:dyDescent="0.35">
      <c r="A8" s="7">
        <v>4</v>
      </c>
      <c r="B8" s="7" t="s">
        <v>429</v>
      </c>
      <c r="C8" s="7" t="s">
        <v>373</v>
      </c>
      <c r="D8" s="7" t="s">
        <v>374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1"/>
      <c r="J8" s="1"/>
    </row>
    <row r="9" spans="1:10" ht="14.5" x14ac:dyDescent="0.35">
      <c r="A9" s="8">
        <v>5</v>
      </c>
      <c r="B9" s="8" t="s">
        <v>409</v>
      </c>
      <c r="C9" s="8" t="s">
        <v>192</v>
      </c>
      <c r="D9" s="8" t="s">
        <v>193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1"/>
      <c r="J9" s="1"/>
    </row>
    <row r="10" spans="1:10" ht="14.5" x14ac:dyDescent="0.35">
      <c r="A10" s="7">
        <v>6</v>
      </c>
      <c r="B10" s="7" t="s">
        <v>414</v>
      </c>
      <c r="C10" s="7" t="s">
        <v>272</v>
      </c>
      <c r="D10" s="7" t="s">
        <v>273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1"/>
      <c r="J10" s="1"/>
    </row>
    <row r="11" spans="1:10" ht="14.5" x14ac:dyDescent="0.35">
      <c r="A11" s="8">
        <v>7</v>
      </c>
      <c r="B11" s="8" t="s">
        <v>411</v>
      </c>
      <c r="C11" s="8" t="s">
        <v>192</v>
      </c>
      <c r="D11" s="8" t="s">
        <v>193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1"/>
      <c r="J11" s="1"/>
    </row>
    <row r="12" spans="1:10" ht="14.5" x14ac:dyDescent="0.35">
      <c r="A12" s="7">
        <v>8</v>
      </c>
      <c r="B12" s="7" t="s">
        <v>366</v>
      </c>
      <c r="C12" s="7" t="s">
        <v>290</v>
      </c>
      <c r="D12" s="7" t="s">
        <v>291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1"/>
      <c r="J12" s="1"/>
    </row>
    <row r="13" spans="1:10" ht="14.5" x14ac:dyDescent="0.35">
      <c r="A13" s="8">
        <v>9</v>
      </c>
      <c r="B13" s="8" t="s">
        <v>365</v>
      </c>
      <c r="C13" s="8" t="s">
        <v>72</v>
      </c>
      <c r="D13" s="8" t="s">
        <v>73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1"/>
      <c r="J13" s="1"/>
    </row>
    <row r="14" spans="1:10" ht="14.5" x14ac:dyDescent="0.35">
      <c r="A14" s="7">
        <v>10</v>
      </c>
      <c r="B14" s="7" t="s">
        <v>364</v>
      </c>
      <c r="C14" s="7" t="s">
        <v>266</v>
      </c>
      <c r="D14" s="7" t="s">
        <v>267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1"/>
      <c r="J14" s="1"/>
    </row>
    <row r="15" spans="1:10" ht="14.5" x14ac:dyDescent="0.35">
      <c r="A15" s="8">
        <v>11</v>
      </c>
      <c r="B15" s="8" t="s">
        <v>358</v>
      </c>
      <c r="C15" s="8" t="s">
        <v>359</v>
      </c>
      <c r="D15" s="8" t="s">
        <v>360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1"/>
      <c r="J15" s="1"/>
    </row>
    <row r="16" spans="1:10" ht="14.5" x14ac:dyDescent="0.35">
      <c r="A16" s="7">
        <v>12</v>
      </c>
      <c r="B16" s="7" t="s">
        <v>386</v>
      </c>
      <c r="C16" s="7" t="s">
        <v>43</v>
      </c>
      <c r="D16" s="7" t="s">
        <v>44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1"/>
      <c r="J16" s="1"/>
    </row>
    <row r="17" spans="1:10" ht="14.5" x14ac:dyDescent="0.35">
      <c r="A17" s="8">
        <v>13</v>
      </c>
      <c r="B17" s="8" t="s">
        <v>42</v>
      </c>
      <c r="C17" s="8" t="s">
        <v>43</v>
      </c>
      <c r="D17" s="8" t="s">
        <v>44</v>
      </c>
      <c r="E17" s="8">
        <v>3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1"/>
      <c r="J17" s="1"/>
    </row>
    <row r="18" spans="1:10" ht="14.5" x14ac:dyDescent="0.35">
      <c r="A18" s="7">
        <v>14</v>
      </c>
      <c r="B18" s="7" t="s">
        <v>184</v>
      </c>
      <c r="C18" s="7" t="s">
        <v>31</v>
      </c>
      <c r="D18" s="7" t="s">
        <v>32</v>
      </c>
      <c r="E18" s="7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1"/>
      <c r="J18" s="1"/>
    </row>
    <row r="19" spans="1:10" ht="14.5" x14ac:dyDescent="0.35">
      <c r="A19" s="8">
        <v>15</v>
      </c>
      <c r="B19" s="8" t="s">
        <v>354</v>
      </c>
      <c r="C19" s="8" t="s">
        <v>63</v>
      </c>
      <c r="D19" s="8" t="s">
        <v>65</v>
      </c>
      <c r="E19" s="8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1"/>
      <c r="J19" s="1"/>
    </row>
    <row r="20" spans="1:10" ht="14.5" x14ac:dyDescent="0.35">
      <c r="A20" s="7">
        <v>16</v>
      </c>
      <c r="B20" s="7" t="s">
        <v>348</v>
      </c>
      <c r="C20" s="7" t="s">
        <v>349</v>
      </c>
      <c r="D20" s="7" t="s">
        <v>350</v>
      </c>
      <c r="E20" s="7">
        <v>3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1"/>
      <c r="J20" s="1"/>
    </row>
    <row r="21" spans="1:10" ht="15.75" customHeight="1" x14ac:dyDescent="0.35">
      <c r="A21" s="8">
        <v>17</v>
      </c>
      <c r="B21" s="8" t="s">
        <v>382</v>
      </c>
      <c r="C21" s="8" t="s">
        <v>31</v>
      </c>
      <c r="D21" s="8" t="s">
        <v>32</v>
      </c>
      <c r="E21" s="8">
        <v>2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1"/>
      <c r="J21" s="1"/>
    </row>
    <row r="22" spans="1:10" ht="15.75" customHeight="1" x14ac:dyDescent="0.35">
      <c r="A22" s="7">
        <v>18</v>
      </c>
      <c r="B22" s="7" t="s">
        <v>29</v>
      </c>
      <c r="C22" s="7" t="s">
        <v>31</v>
      </c>
      <c r="D22" s="7" t="s">
        <v>32</v>
      </c>
      <c r="E22" s="7">
        <v>9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1"/>
      <c r="J22" s="1"/>
    </row>
    <row r="23" spans="1:10" ht="15.75" customHeight="1" x14ac:dyDescent="0.35">
      <c r="A23" s="8">
        <v>19</v>
      </c>
      <c r="B23" s="8" t="s">
        <v>337</v>
      </c>
      <c r="C23" s="8" t="s">
        <v>21</v>
      </c>
      <c r="D23" s="8" t="s">
        <v>23</v>
      </c>
      <c r="E23" s="8">
        <v>4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1"/>
      <c r="J23" s="1"/>
    </row>
    <row r="24" spans="1:10" ht="15.75" customHeight="1" x14ac:dyDescent="0.35">
      <c r="A24" s="7">
        <v>20</v>
      </c>
      <c r="B24" s="7" t="s">
        <v>334</v>
      </c>
      <c r="C24" s="7" t="s">
        <v>21</v>
      </c>
      <c r="D24" s="7" t="s">
        <v>23</v>
      </c>
      <c r="E24" s="7">
        <v>2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1"/>
      <c r="J24" s="1"/>
    </row>
    <row r="25" spans="1:10" ht="15.75" customHeight="1" x14ac:dyDescent="0.35">
      <c r="A25" s="8">
        <v>21</v>
      </c>
      <c r="B25" s="8" t="s">
        <v>323</v>
      </c>
      <c r="C25" s="8" t="s">
        <v>21</v>
      </c>
      <c r="D25" s="8" t="s">
        <v>23</v>
      </c>
      <c r="E25" s="8">
        <v>4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1"/>
      <c r="J25" s="1"/>
    </row>
    <row r="26" spans="1:10" ht="15.75" customHeight="1" x14ac:dyDescent="0.35">
      <c r="A26" s="7">
        <v>22</v>
      </c>
      <c r="B26" s="7" t="s">
        <v>301</v>
      </c>
      <c r="C26" s="7" t="s">
        <v>21</v>
      </c>
      <c r="D26" s="7" t="s">
        <v>23</v>
      </c>
      <c r="E26" s="7">
        <v>6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1"/>
      <c r="J26" s="1"/>
    </row>
    <row r="27" spans="1:10" ht="15.75" customHeight="1" x14ac:dyDescent="0.35">
      <c r="I27" s="1"/>
      <c r="J27" s="1"/>
    </row>
    <row r="28" spans="1:10" ht="15.75" customHeight="1" x14ac:dyDescent="0.35">
      <c r="I28" s="1"/>
      <c r="J28" s="1"/>
    </row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H26" xr:uid="{00000000-0009-0000-0000-00000B000000}">
    <sortState xmlns:xlrd2="http://schemas.microsoft.com/office/spreadsheetml/2017/richdata2" ref="A5:H26">
      <sortCondition ref="A4:A26"/>
    </sortState>
  </autoFilter>
  <mergeCells count="2">
    <mergeCell ref="A1:H1"/>
    <mergeCell ref="A2:H2"/>
  </mergeCells>
  <conditionalFormatting sqref="G5:G26">
    <cfRule type="expression" dxfId="185" priority="1">
      <formula>G5="OUT OF STOCK"</formula>
    </cfRule>
    <cfRule type="expression" dxfId="184" priority="2">
      <formula>G5="REORDER"</formula>
    </cfRule>
    <cfRule type="expression" dxfId="183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000"/>
  <sheetViews>
    <sheetView showGridLines="0" workbookViewId="0">
      <pane ySplit="6" topLeftCell="A13" activePane="bottomLeft" state="frozen"/>
      <selection pane="bottomLeft" activeCell="F16" sqref="F16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75" customHeight="1" x14ac:dyDescent="0.3">
      <c r="A1" s="24" t="s">
        <v>66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67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" x14ac:dyDescent="0.3">
      <c r="A6" s="7">
        <v>2</v>
      </c>
      <c r="B6" s="7" t="s">
        <v>379</v>
      </c>
      <c r="C6" s="7" t="s">
        <v>380</v>
      </c>
      <c r="D6" s="7" t="s">
        <v>126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424</v>
      </c>
      <c r="C7" s="8" t="s">
        <v>373</v>
      </c>
      <c r="D7" s="8" t="s">
        <v>374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409</v>
      </c>
      <c r="C8" s="7" t="s">
        <v>192</v>
      </c>
      <c r="D8" s="7" t="s">
        <v>193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390</v>
      </c>
      <c r="C9" s="8" t="s">
        <v>272</v>
      </c>
      <c r="D9" s="8" t="s">
        <v>273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366</v>
      </c>
      <c r="C10" s="7" t="s">
        <v>290</v>
      </c>
      <c r="D10" s="7" t="s">
        <v>291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365</v>
      </c>
      <c r="C11" s="8" t="s">
        <v>72</v>
      </c>
      <c r="D11" s="8" t="s">
        <v>73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364</v>
      </c>
      <c r="C12" s="7" t="s">
        <v>266</v>
      </c>
      <c r="D12" s="7" t="s">
        <v>267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358</v>
      </c>
      <c r="C13" s="8" t="s">
        <v>359</v>
      </c>
      <c r="D13" s="8" t="s">
        <v>360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386</v>
      </c>
      <c r="C14" s="7" t="s">
        <v>43</v>
      </c>
      <c r="D14" s="7" t="s">
        <v>44</v>
      </c>
      <c r="E14" s="7">
        <v>2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42</v>
      </c>
      <c r="C15" s="8" t="s">
        <v>43</v>
      </c>
      <c r="D15" s="8" t="s">
        <v>44</v>
      </c>
      <c r="E15" s="8">
        <v>4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354</v>
      </c>
      <c r="C16" s="7" t="s">
        <v>63</v>
      </c>
      <c r="D16" s="7" t="s">
        <v>65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348</v>
      </c>
      <c r="C17" s="8" t="s">
        <v>349</v>
      </c>
      <c r="D17" s="8" t="s">
        <v>350</v>
      </c>
      <c r="E17" s="8">
        <v>4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382</v>
      </c>
      <c r="C18" s="7" t="s">
        <v>31</v>
      </c>
      <c r="D18" s="7" t="s">
        <v>32</v>
      </c>
      <c r="E18" s="7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4" x14ac:dyDescent="0.3">
      <c r="A19" s="8">
        <v>15</v>
      </c>
      <c r="B19" s="8" t="s">
        <v>29</v>
      </c>
      <c r="C19" s="8" t="s">
        <v>31</v>
      </c>
      <c r="D19" s="8" t="s">
        <v>32</v>
      </c>
      <c r="E19" s="8">
        <v>8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4" x14ac:dyDescent="0.3">
      <c r="A20" s="7">
        <v>16</v>
      </c>
      <c r="B20" s="7" t="s">
        <v>337</v>
      </c>
      <c r="C20" s="7" t="s">
        <v>21</v>
      </c>
      <c r="D20" s="7" t="s">
        <v>23</v>
      </c>
      <c r="E20" s="7">
        <v>4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323</v>
      </c>
      <c r="C21" s="8" t="s">
        <v>21</v>
      </c>
      <c r="D21" s="8" t="s">
        <v>23</v>
      </c>
      <c r="E21" s="8">
        <v>6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301</v>
      </c>
      <c r="C22" s="7" t="s">
        <v>21</v>
      </c>
      <c r="D22" s="7" t="s">
        <v>23</v>
      </c>
      <c r="E22" s="7">
        <v>4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I23" s="3"/>
      <c r="J23" s="3"/>
    </row>
    <row r="24" spans="1:10" ht="15.75" customHeight="1" x14ac:dyDescent="0.3">
      <c r="I24" s="3"/>
      <c r="J24" s="3"/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22" xr:uid="{00000000-0009-0000-0000-00000C000000}">
    <sortState xmlns:xlrd2="http://schemas.microsoft.com/office/spreadsheetml/2017/richdata2" ref="A5:H22">
      <sortCondition ref="A4:A22"/>
    </sortState>
  </autoFilter>
  <mergeCells count="2">
    <mergeCell ref="A1:H1"/>
    <mergeCell ref="A2:H2"/>
  </mergeCells>
  <conditionalFormatting sqref="G5:G22">
    <cfRule type="expression" dxfId="182" priority="1">
      <formula>G5="OUT OF STOCK"</formula>
    </cfRule>
    <cfRule type="expression" dxfId="181" priority="2">
      <formula>G5="REORDER"</formula>
    </cfRule>
    <cfRule type="expression" dxfId="18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9" sqref="D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6.4" customHeight="1" x14ac:dyDescent="0.3">
      <c r="A1" s="24" t="s">
        <v>69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70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62</v>
      </c>
      <c r="C5" s="8" t="s">
        <v>63</v>
      </c>
      <c r="D5" s="8" t="s">
        <v>65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423</v>
      </c>
      <c r="C6" s="7" t="s">
        <v>373</v>
      </c>
      <c r="D6" s="7" t="s">
        <v>374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366</v>
      </c>
      <c r="C7" s="8" t="s">
        <v>290</v>
      </c>
      <c r="D7" s="8" t="s">
        <v>291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354</v>
      </c>
      <c r="C8" s="7" t="s">
        <v>63</v>
      </c>
      <c r="D8" s="7" t="s">
        <v>65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29</v>
      </c>
      <c r="C9" s="8" t="s">
        <v>31</v>
      </c>
      <c r="D9" s="8" t="s">
        <v>32</v>
      </c>
      <c r="E9" s="8">
        <v>4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337</v>
      </c>
      <c r="C10" s="7" t="s">
        <v>21</v>
      </c>
      <c r="D10" s="7" t="s">
        <v>23</v>
      </c>
      <c r="E10" s="7">
        <v>4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323</v>
      </c>
      <c r="C11" s="8" t="s">
        <v>21</v>
      </c>
      <c r="D11" s="8" t="s">
        <v>23</v>
      </c>
      <c r="E11" s="8">
        <v>2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301</v>
      </c>
      <c r="C12" s="7" t="s">
        <v>21</v>
      </c>
      <c r="D12" s="7" t="s">
        <v>23</v>
      </c>
      <c r="E12" s="7">
        <v>4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2" xr:uid="{00000000-0009-0000-0000-00000D000000}">
    <sortState xmlns:xlrd2="http://schemas.microsoft.com/office/spreadsheetml/2017/richdata2" ref="A5:H12">
      <sortCondition ref="A4:A12"/>
    </sortState>
  </autoFilter>
  <mergeCells count="2">
    <mergeCell ref="A1:H1"/>
    <mergeCell ref="A2:H2"/>
  </mergeCells>
  <conditionalFormatting sqref="G5:G12">
    <cfRule type="expression" dxfId="179" priority="1">
      <formula>G5="OUT OF STOCK"</formula>
    </cfRule>
    <cfRule type="expression" dxfId="178" priority="2">
      <formula>G5="REORDER"</formula>
    </cfRule>
    <cfRule type="expression" dxfId="17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000"/>
  <sheetViews>
    <sheetView showGridLines="0" workbookViewId="0">
      <pane ySplit="6" topLeftCell="A7" activePane="bottomLeft" state="frozen"/>
      <selection pane="bottomLeft" activeCell="D16" sqref="D16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.65" customHeight="1" x14ac:dyDescent="0.3">
      <c r="A1" s="24" t="s">
        <v>74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76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</row>
    <row r="5" spans="1:10" ht="14" x14ac:dyDescent="0.3">
      <c r="A5" s="8">
        <v>1</v>
      </c>
      <c r="B5" s="8" t="s">
        <v>422</v>
      </c>
      <c r="C5" s="8" t="s">
        <v>272</v>
      </c>
      <c r="D5" s="8" t="s">
        <v>273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</row>
    <row r="6" spans="1:10" ht="14" x14ac:dyDescent="0.3">
      <c r="A6" s="7">
        <v>2</v>
      </c>
      <c r="B6" s="7" t="s">
        <v>436</v>
      </c>
      <c r="C6" s="7" t="s">
        <v>437</v>
      </c>
      <c r="D6" s="7" t="s">
        <v>438</v>
      </c>
      <c r="E6" s="7">
        <v>7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I7" s="3"/>
      <c r="J7" s="3"/>
    </row>
    <row r="8" spans="1:10" ht="14" x14ac:dyDescent="0.3">
      <c r="I8" s="3"/>
      <c r="J8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:H6" xr:uid="{00000000-0009-0000-0000-00000E000000}">
    <sortState xmlns:xlrd2="http://schemas.microsoft.com/office/spreadsheetml/2017/richdata2" ref="A5:H6">
      <sortCondition ref="A4:A6"/>
    </sortState>
  </autoFilter>
  <mergeCells count="2">
    <mergeCell ref="A1:H1"/>
    <mergeCell ref="A2:H2"/>
  </mergeCells>
  <conditionalFormatting sqref="G5:G6">
    <cfRule type="expression" dxfId="176" priority="1">
      <formula>G5="OUT OF STOCK"</formula>
    </cfRule>
    <cfRule type="expression" dxfId="175" priority="2">
      <formula>G5="REORDER"</formula>
    </cfRule>
    <cfRule type="expression" dxfId="17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8" sqref="E8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75" customHeight="1" x14ac:dyDescent="0.3">
      <c r="A1" s="24" t="s">
        <v>77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78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79</v>
      </c>
      <c r="C5" s="8" t="s">
        <v>81</v>
      </c>
      <c r="D5" s="8" t="s">
        <v>82</v>
      </c>
      <c r="E5" s="8">
        <v>8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90</v>
      </c>
      <c r="C6" s="7" t="s">
        <v>91</v>
      </c>
      <c r="D6" s="7" t="s">
        <v>92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203</v>
      </c>
      <c r="C7" s="8" t="s">
        <v>138</v>
      </c>
      <c r="D7" s="8" t="s">
        <v>139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403</v>
      </c>
      <c r="C8" s="7" t="s">
        <v>91</v>
      </c>
      <c r="D8" s="7" t="s">
        <v>92</v>
      </c>
      <c r="E8" s="7">
        <v>4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406</v>
      </c>
      <c r="C9" s="8" t="s">
        <v>407</v>
      </c>
      <c r="D9" s="8" t="s">
        <v>408</v>
      </c>
      <c r="E9" s="8">
        <v>8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410</v>
      </c>
      <c r="C10" s="7" t="s">
        <v>138</v>
      </c>
      <c r="D10" s="7" t="s">
        <v>139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412</v>
      </c>
      <c r="C11" s="8" t="s">
        <v>138</v>
      </c>
      <c r="D11" s="8" t="s">
        <v>139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415</v>
      </c>
      <c r="C12" s="7" t="s">
        <v>138</v>
      </c>
      <c r="D12" s="7" t="s">
        <v>139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449</v>
      </c>
      <c r="C13" s="8" t="s">
        <v>138</v>
      </c>
      <c r="D13" s="8" t="s">
        <v>139</v>
      </c>
      <c r="E13" s="8">
        <v>2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508</v>
      </c>
      <c r="C14" s="7" t="s">
        <v>138</v>
      </c>
      <c r="D14" s="7" t="s">
        <v>139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505</v>
      </c>
      <c r="C15" s="8" t="s">
        <v>31</v>
      </c>
      <c r="D15" s="8" t="s">
        <v>32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502</v>
      </c>
      <c r="C16" s="7" t="s">
        <v>81</v>
      </c>
      <c r="D16" s="7" t="s">
        <v>82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498</v>
      </c>
      <c r="C17" s="8" t="s">
        <v>499</v>
      </c>
      <c r="D17" s="8" t="s">
        <v>500</v>
      </c>
      <c r="E17" s="8">
        <v>1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495</v>
      </c>
      <c r="C18" s="7" t="s">
        <v>496</v>
      </c>
      <c r="D18" s="7" t="s">
        <v>497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492</v>
      </c>
      <c r="C19" s="8" t="s">
        <v>81</v>
      </c>
      <c r="D19" s="8" t="s">
        <v>82</v>
      </c>
      <c r="E19" s="8">
        <v>5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491</v>
      </c>
      <c r="C20" s="7" t="s">
        <v>480</v>
      </c>
      <c r="D20" s="7" t="s">
        <v>482</v>
      </c>
      <c r="E20" s="7">
        <v>2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485</v>
      </c>
      <c r="C21" s="8" t="s">
        <v>480</v>
      </c>
      <c r="D21" s="8" t="s">
        <v>482</v>
      </c>
      <c r="E21" s="8">
        <v>2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484</v>
      </c>
      <c r="C22" s="7" t="s">
        <v>480</v>
      </c>
      <c r="D22" s="7" t="s">
        <v>482</v>
      </c>
      <c r="E22" s="7">
        <v>3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479</v>
      </c>
      <c r="C23" s="8" t="s">
        <v>480</v>
      </c>
      <c r="D23" s="8" t="s">
        <v>482</v>
      </c>
      <c r="E23" s="8">
        <v>4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478</v>
      </c>
      <c r="C24" s="7" t="s">
        <v>43</v>
      </c>
      <c r="D24" s="7" t="s">
        <v>44</v>
      </c>
      <c r="E24" s="7">
        <v>24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473</v>
      </c>
      <c r="C25" s="8" t="s">
        <v>474</v>
      </c>
      <c r="D25" s="8" t="s">
        <v>475</v>
      </c>
      <c r="E25" s="8">
        <v>1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468</v>
      </c>
      <c r="C26" s="7" t="s">
        <v>469</v>
      </c>
      <c r="D26" s="7" t="s">
        <v>470</v>
      </c>
      <c r="E26" s="7">
        <v>7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465</v>
      </c>
      <c r="C27" s="8" t="s">
        <v>217</v>
      </c>
      <c r="D27" s="8" t="s">
        <v>218</v>
      </c>
      <c r="E27" s="8">
        <v>8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459</v>
      </c>
      <c r="C28" s="7" t="s">
        <v>31</v>
      </c>
      <c r="D28" s="7" t="s">
        <v>32</v>
      </c>
      <c r="E28" s="7">
        <v>37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458</v>
      </c>
      <c r="C29" s="8" t="s">
        <v>31</v>
      </c>
      <c r="D29" s="8" t="s">
        <v>32</v>
      </c>
      <c r="E29" s="8">
        <v>34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455</v>
      </c>
      <c r="C30" s="7" t="s">
        <v>328</v>
      </c>
      <c r="D30" s="7" t="s">
        <v>456</v>
      </c>
      <c r="E30" s="7">
        <v>5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194</v>
      </c>
      <c r="C31" s="8" t="s">
        <v>31</v>
      </c>
      <c r="D31" s="8" t="s">
        <v>32</v>
      </c>
      <c r="E31" s="8">
        <v>17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453</v>
      </c>
      <c r="C32" s="7" t="s">
        <v>31</v>
      </c>
      <c r="D32" s="7" t="s">
        <v>32</v>
      </c>
      <c r="E32" s="7">
        <v>40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451</v>
      </c>
      <c r="C33" s="8" t="s">
        <v>31</v>
      </c>
      <c r="D33" s="8" t="s">
        <v>32</v>
      </c>
      <c r="E33" s="8">
        <v>32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450</v>
      </c>
      <c r="C34" s="7" t="s">
        <v>31</v>
      </c>
      <c r="D34" s="7" t="s">
        <v>32</v>
      </c>
      <c r="E34" s="7">
        <v>8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447</v>
      </c>
      <c r="C35" s="8" t="s">
        <v>448</v>
      </c>
      <c r="D35" s="8" t="s">
        <v>139</v>
      </c>
      <c r="E35" s="8">
        <v>12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445</v>
      </c>
      <c r="C36" s="7" t="s">
        <v>21</v>
      </c>
      <c r="D36" s="7" t="s">
        <v>23</v>
      </c>
      <c r="E36" s="7">
        <v>6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444</v>
      </c>
      <c r="C37" s="8" t="s">
        <v>21</v>
      </c>
      <c r="D37" s="8" t="s">
        <v>23</v>
      </c>
      <c r="E37" s="8">
        <v>1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443</v>
      </c>
      <c r="C38" s="7" t="s">
        <v>21</v>
      </c>
      <c r="D38" s="7" t="s">
        <v>23</v>
      </c>
      <c r="E38" s="7">
        <v>36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>
      <c r="A39" s="8">
        <v>35</v>
      </c>
      <c r="B39" s="8" t="s">
        <v>441</v>
      </c>
      <c r="C39" s="8" t="s">
        <v>21</v>
      </c>
      <c r="D39" s="8" t="s">
        <v>23</v>
      </c>
      <c r="E39" s="8">
        <v>4</v>
      </c>
      <c r="F39" s="8" t="str">
        <f t="array" ref="F39">IFERROR(_xlfn.XLOOKUP(B39,#REF!,#REF!,""),"")</f>
        <v/>
      </c>
      <c r="G39" s="8" t="str">
        <f t="array" ref="G39">IFERROR(_xlfn.XLOOKUP(B39,#REF!,#REF!,""),"")</f>
        <v/>
      </c>
      <c r="H39" s="8" t="str">
        <f t="array" ref="H39">IFERROR(_xlfn.XLOOKUP(B39,#REF!,#REF!,""),"")</f>
        <v/>
      </c>
      <c r="I39" s="3"/>
      <c r="J39" s="3"/>
    </row>
    <row r="40" spans="1:10" ht="15.75" customHeight="1" x14ac:dyDescent="0.3">
      <c r="A40" s="7">
        <v>36</v>
      </c>
      <c r="B40" s="7" t="s">
        <v>440</v>
      </c>
      <c r="C40" s="7" t="s">
        <v>21</v>
      </c>
      <c r="D40" s="7" t="s">
        <v>23</v>
      </c>
      <c r="E40" s="7">
        <v>2</v>
      </c>
      <c r="F40" s="7" t="str">
        <f t="array" ref="F40">IFERROR(_xlfn.XLOOKUP(B40,#REF!,#REF!,""),"")</f>
        <v/>
      </c>
      <c r="G40" s="7" t="str">
        <f t="array" ref="G40">IFERROR(_xlfn.XLOOKUP(B40,#REF!,#REF!,""),"")</f>
        <v/>
      </c>
      <c r="H40" s="7" t="str">
        <f t="array" ref="H40">IFERROR(_xlfn.XLOOKUP(B40,#REF!,#REF!,""),"")</f>
        <v/>
      </c>
      <c r="I40" s="3"/>
      <c r="J40" s="3"/>
    </row>
    <row r="41" spans="1:10" ht="15.75" customHeight="1" x14ac:dyDescent="0.3">
      <c r="A41" s="8">
        <v>37</v>
      </c>
      <c r="B41" s="8" t="s">
        <v>439</v>
      </c>
      <c r="C41" s="8" t="s">
        <v>21</v>
      </c>
      <c r="D41" s="8" t="s">
        <v>23</v>
      </c>
      <c r="E41" s="8">
        <v>6</v>
      </c>
      <c r="F41" s="8" t="str">
        <f t="array" ref="F41">IFERROR(_xlfn.XLOOKUP(B41,#REF!,#REF!,""),"")</f>
        <v/>
      </c>
      <c r="G41" s="8" t="str">
        <f t="array" ref="G41">IFERROR(_xlfn.XLOOKUP(B41,#REF!,#REF!,""),"")</f>
        <v/>
      </c>
      <c r="H41" s="8" t="str">
        <f t="array" ref="H41">IFERROR(_xlfn.XLOOKUP(B41,#REF!,#REF!,""),"")</f>
        <v/>
      </c>
      <c r="I41" s="3"/>
      <c r="J41" s="3"/>
    </row>
    <row r="42" spans="1:10" ht="15.75" customHeight="1" x14ac:dyDescent="0.3">
      <c r="A42" s="7">
        <v>38</v>
      </c>
      <c r="B42" s="7" t="s">
        <v>435</v>
      </c>
      <c r="C42" s="7" t="s">
        <v>17</v>
      </c>
      <c r="D42" s="7" t="s">
        <v>18</v>
      </c>
      <c r="E42" s="7">
        <v>5</v>
      </c>
      <c r="F42" s="7" t="str">
        <f t="array" ref="F42">IFERROR(_xlfn.XLOOKUP(B42,#REF!,#REF!,""),"")</f>
        <v/>
      </c>
      <c r="G42" s="7" t="str">
        <f t="array" ref="G42">IFERROR(_xlfn.XLOOKUP(B42,#REF!,#REF!,""),"")</f>
        <v/>
      </c>
      <c r="H42" s="7" t="str">
        <f t="array" ref="H42">IFERROR(_xlfn.XLOOKUP(B42,#REF!,#REF!,""),"")</f>
        <v/>
      </c>
      <c r="I42" s="3"/>
      <c r="J42" s="3"/>
    </row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2" xr:uid="{00000000-0009-0000-0000-00000F000000}">
    <sortState xmlns:xlrd2="http://schemas.microsoft.com/office/spreadsheetml/2017/richdata2" ref="A5:H42">
      <sortCondition ref="A4:A42"/>
    </sortState>
  </autoFilter>
  <mergeCells count="2">
    <mergeCell ref="A1:H1"/>
    <mergeCell ref="A2:H2"/>
  </mergeCells>
  <conditionalFormatting sqref="G5:G42">
    <cfRule type="expression" dxfId="173" priority="1">
      <formula>G5="OUT OF STOCK"</formula>
    </cfRule>
    <cfRule type="expression" dxfId="172" priority="2">
      <formula>G5="REORDER"</formula>
    </cfRule>
    <cfRule type="expression" dxfId="17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6" sqref="D6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9.4" customHeight="1" x14ac:dyDescent="0.3">
      <c r="A1" s="24" t="s">
        <v>83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84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536</v>
      </c>
      <c r="C5" s="8" t="s">
        <v>537</v>
      </c>
      <c r="D5" s="8" t="s">
        <v>538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532</v>
      </c>
      <c r="C6" s="7" t="s">
        <v>299</v>
      </c>
      <c r="D6" s="7" t="s">
        <v>533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529</v>
      </c>
      <c r="C7" s="8" t="s">
        <v>530</v>
      </c>
      <c r="D7" s="8" t="s">
        <v>531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528</v>
      </c>
      <c r="C8" s="7" t="s">
        <v>399</v>
      </c>
      <c r="D8" s="7" t="s">
        <v>400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527</v>
      </c>
      <c r="C9" s="8" t="s">
        <v>212</v>
      </c>
      <c r="D9" s="8" t="s">
        <v>214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526</v>
      </c>
      <c r="C10" s="7" t="s">
        <v>51</v>
      </c>
      <c r="D10" s="7" t="s">
        <v>53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521</v>
      </c>
      <c r="C11" s="8" t="s">
        <v>522</v>
      </c>
      <c r="D11" s="8" t="s">
        <v>523</v>
      </c>
      <c r="E11" s="8">
        <v>2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518</v>
      </c>
      <c r="C12" s="7" t="s">
        <v>519</v>
      </c>
      <c r="D12" s="7" t="s">
        <v>520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516</v>
      </c>
      <c r="C13" s="8" t="s">
        <v>225</v>
      </c>
      <c r="D13" s="8" t="s">
        <v>226</v>
      </c>
      <c r="E13" s="8">
        <v>2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511</v>
      </c>
      <c r="C14" s="7" t="s">
        <v>512</v>
      </c>
      <c r="D14" s="7" t="s">
        <v>513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478</v>
      </c>
      <c r="C15" s="8" t="s">
        <v>43</v>
      </c>
      <c r="D15" s="8" t="s">
        <v>44</v>
      </c>
      <c r="E15" s="8">
        <v>3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507</v>
      </c>
      <c r="C16" s="7" t="s">
        <v>43</v>
      </c>
      <c r="D16" s="7" t="s">
        <v>44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503</v>
      </c>
      <c r="C17" s="8" t="s">
        <v>43</v>
      </c>
      <c r="D17" s="8" t="s">
        <v>44</v>
      </c>
      <c r="E17" s="8">
        <v>1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493</v>
      </c>
      <c r="C18" s="7" t="s">
        <v>217</v>
      </c>
      <c r="D18" s="7" t="s">
        <v>218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458</v>
      </c>
      <c r="C19" s="8" t="s">
        <v>31</v>
      </c>
      <c r="D19" s="8" t="s">
        <v>32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487</v>
      </c>
      <c r="C20" s="7" t="s">
        <v>328</v>
      </c>
      <c r="D20" s="7" t="s">
        <v>456</v>
      </c>
      <c r="E20" s="7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483</v>
      </c>
      <c r="C21" s="8" t="s">
        <v>328</v>
      </c>
      <c r="D21" s="8" t="s">
        <v>456</v>
      </c>
      <c r="E21" s="8">
        <v>1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451</v>
      </c>
      <c r="C22" s="7" t="s">
        <v>31</v>
      </c>
      <c r="D22" s="7" t="s">
        <v>32</v>
      </c>
      <c r="E22" s="7">
        <v>3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323</v>
      </c>
      <c r="C23" s="8" t="s">
        <v>21</v>
      </c>
      <c r="D23" s="8" t="s">
        <v>23</v>
      </c>
      <c r="E23" s="8">
        <v>2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471</v>
      </c>
      <c r="C24" s="7" t="s">
        <v>21</v>
      </c>
      <c r="D24" s="7" t="s">
        <v>23</v>
      </c>
      <c r="E24" s="7">
        <v>2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440</v>
      </c>
      <c r="C25" s="8" t="s">
        <v>21</v>
      </c>
      <c r="D25" s="8" t="s">
        <v>23</v>
      </c>
      <c r="E25" s="8">
        <v>1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464</v>
      </c>
      <c r="C26" s="7" t="s">
        <v>21</v>
      </c>
      <c r="D26" s="7" t="s">
        <v>23</v>
      </c>
      <c r="E26" s="7">
        <v>1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460</v>
      </c>
      <c r="C27" s="8" t="s">
        <v>21</v>
      </c>
      <c r="D27" s="8" t="s">
        <v>23</v>
      </c>
      <c r="E27" s="8">
        <v>1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435</v>
      </c>
      <c r="C28" s="7" t="s">
        <v>17</v>
      </c>
      <c r="D28" s="7" t="s">
        <v>18</v>
      </c>
      <c r="E28" s="7">
        <v>2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8" xr:uid="{00000000-0009-0000-0000-000010000000}">
    <sortState xmlns:xlrd2="http://schemas.microsoft.com/office/spreadsheetml/2017/richdata2" ref="A5:H28">
      <sortCondition ref="A4:A28"/>
    </sortState>
  </autoFilter>
  <mergeCells count="2">
    <mergeCell ref="A1:H1"/>
    <mergeCell ref="A2:H2"/>
  </mergeCells>
  <conditionalFormatting sqref="G5:G28">
    <cfRule type="expression" dxfId="170" priority="1">
      <formula>G5="OUT OF STOCK"</formula>
    </cfRule>
    <cfRule type="expression" dxfId="169" priority="2">
      <formula>G5="REORDER"</formula>
    </cfRule>
    <cfRule type="expression" dxfId="168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8" sqref="D8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" customHeight="1" x14ac:dyDescent="0.3">
      <c r="A1" s="24" t="s">
        <v>86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87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576</v>
      </c>
      <c r="C5" s="7" t="s">
        <v>212</v>
      </c>
      <c r="D5" s="7" t="s">
        <v>214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574</v>
      </c>
      <c r="C6" s="8" t="s">
        <v>530</v>
      </c>
      <c r="D6" s="8" t="s">
        <v>531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572</v>
      </c>
      <c r="C7" s="7" t="s">
        <v>225</v>
      </c>
      <c r="D7" s="7" t="s">
        <v>226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571</v>
      </c>
      <c r="C8" s="8" t="s">
        <v>138</v>
      </c>
      <c r="D8" s="8" t="s">
        <v>139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536</v>
      </c>
      <c r="C9" s="7" t="s">
        <v>537</v>
      </c>
      <c r="D9" s="7" t="s">
        <v>538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566</v>
      </c>
      <c r="C10" s="8" t="s">
        <v>399</v>
      </c>
      <c r="D10" s="8" t="s">
        <v>400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563</v>
      </c>
      <c r="C11" s="7" t="s">
        <v>192</v>
      </c>
      <c r="D11" s="7" t="s">
        <v>193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561</v>
      </c>
      <c r="C12" s="8" t="s">
        <v>299</v>
      </c>
      <c r="D12" s="8" t="s">
        <v>533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557</v>
      </c>
      <c r="C13" s="7" t="s">
        <v>399</v>
      </c>
      <c r="D13" s="7" t="s">
        <v>400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529</v>
      </c>
      <c r="C14" s="8" t="s">
        <v>530</v>
      </c>
      <c r="D14" s="8" t="s">
        <v>531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551</v>
      </c>
      <c r="C15" s="7" t="s">
        <v>51</v>
      </c>
      <c r="D15" s="7" t="s">
        <v>53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521</v>
      </c>
      <c r="C16" s="8" t="s">
        <v>522</v>
      </c>
      <c r="D16" s="8" t="s">
        <v>523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518</v>
      </c>
      <c r="C17" s="7" t="s">
        <v>519</v>
      </c>
      <c r="D17" s="7" t="s">
        <v>520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516</v>
      </c>
      <c r="C18" s="8" t="s">
        <v>225</v>
      </c>
      <c r="D18" s="8" t="s">
        <v>226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511</v>
      </c>
      <c r="C19" s="7" t="s">
        <v>512</v>
      </c>
      <c r="D19" s="7" t="s">
        <v>513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548</v>
      </c>
      <c r="C20" s="8" t="s">
        <v>43</v>
      </c>
      <c r="D20" s="8" t="s">
        <v>44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478</v>
      </c>
      <c r="C21" s="7" t="s">
        <v>43</v>
      </c>
      <c r="D21" s="7" t="s">
        <v>44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507</v>
      </c>
      <c r="C22" s="8" t="s">
        <v>43</v>
      </c>
      <c r="D22" s="8" t="s">
        <v>44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503</v>
      </c>
      <c r="C23" s="7" t="s">
        <v>43</v>
      </c>
      <c r="D23" s="7" t="s">
        <v>44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541</v>
      </c>
      <c r="C24" s="8" t="s">
        <v>542</v>
      </c>
      <c r="D24" s="8" t="s">
        <v>523</v>
      </c>
      <c r="E24" s="8">
        <v>2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493</v>
      </c>
      <c r="C25" s="7" t="s">
        <v>217</v>
      </c>
      <c r="D25" s="7" t="s">
        <v>218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459</v>
      </c>
      <c r="C26" s="8" t="s">
        <v>31</v>
      </c>
      <c r="D26" s="8" t="s">
        <v>32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184</v>
      </c>
      <c r="C27" s="7" t="s">
        <v>31</v>
      </c>
      <c r="D27" s="7" t="s">
        <v>32</v>
      </c>
      <c r="E27" s="7">
        <v>3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201</v>
      </c>
      <c r="C28" s="8" t="s">
        <v>31</v>
      </c>
      <c r="D28" s="8" t="s">
        <v>32</v>
      </c>
      <c r="E28" s="8">
        <v>2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539</v>
      </c>
      <c r="C29" s="7" t="s">
        <v>328</v>
      </c>
      <c r="D29" s="7" t="s">
        <v>456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487</v>
      </c>
      <c r="C30" s="8" t="s">
        <v>328</v>
      </c>
      <c r="D30" s="8" t="s">
        <v>456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483</v>
      </c>
      <c r="C31" s="7" t="s">
        <v>328</v>
      </c>
      <c r="D31" s="7" t="s">
        <v>456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194</v>
      </c>
      <c r="C32" s="8" t="s">
        <v>31</v>
      </c>
      <c r="D32" s="8" t="s">
        <v>32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451</v>
      </c>
      <c r="C33" s="7" t="s">
        <v>31</v>
      </c>
      <c r="D33" s="7" t="s">
        <v>32</v>
      </c>
      <c r="E33" s="7">
        <v>2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29</v>
      </c>
      <c r="C34" s="8" t="s">
        <v>31</v>
      </c>
      <c r="D34" s="8" t="s">
        <v>32</v>
      </c>
      <c r="E34" s="8">
        <v>3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157</v>
      </c>
      <c r="C35" s="7" t="s">
        <v>31</v>
      </c>
      <c r="D35" s="7" t="s">
        <v>32</v>
      </c>
      <c r="E35" s="7">
        <v>2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132</v>
      </c>
      <c r="C36" s="8" t="s">
        <v>72</v>
      </c>
      <c r="D36" s="8" t="s">
        <v>73</v>
      </c>
      <c r="E36" s="8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525</v>
      </c>
      <c r="C37" s="7" t="s">
        <v>328</v>
      </c>
      <c r="D37" s="7" t="s">
        <v>329</v>
      </c>
      <c r="E37" s="7">
        <v>1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323</v>
      </c>
      <c r="C38" s="8" t="s">
        <v>21</v>
      </c>
      <c r="D38" s="8" t="s">
        <v>23</v>
      </c>
      <c r="E38" s="8">
        <v>2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471</v>
      </c>
      <c r="C39" s="7" t="s">
        <v>21</v>
      </c>
      <c r="D39" s="7" t="s">
        <v>23</v>
      </c>
      <c r="E39" s="7">
        <v>1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514</v>
      </c>
      <c r="C40" s="8" t="s">
        <v>21</v>
      </c>
      <c r="D40" s="8" t="s">
        <v>23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509</v>
      </c>
      <c r="C41" s="7" t="s">
        <v>21</v>
      </c>
      <c r="D41" s="7" t="s">
        <v>23</v>
      </c>
      <c r="E41" s="7">
        <v>1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440</v>
      </c>
      <c r="C42" s="8" t="s">
        <v>21</v>
      </c>
      <c r="D42" s="8" t="s">
        <v>23</v>
      </c>
      <c r="E42" s="8">
        <v>1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61</v>
      </c>
      <c r="C43" s="7" t="s">
        <v>21</v>
      </c>
      <c r="D43" s="7" t="s">
        <v>23</v>
      </c>
      <c r="E43" s="7">
        <v>2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501</v>
      </c>
      <c r="C44" s="8" t="s">
        <v>21</v>
      </c>
      <c r="D44" s="8" t="s">
        <v>23</v>
      </c>
      <c r="E44" s="8">
        <v>1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33</v>
      </c>
      <c r="C45" s="7" t="s">
        <v>21</v>
      </c>
      <c r="D45" s="7" t="s">
        <v>23</v>
      </c>
      <c r="E45" s="7">
        <v>2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490</v>
      </c>
      <c r="C46" s="8" t="s">
        <v>21</v>
      </c>
      <c r="D46" s="8" t="s">
        <v>23</v>
      </c>
      <c r="E46" s="8">
        <v>1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435</v>
      </c>
      <c r="C47" s="7" t="s">
        <v>17</v>
      </c>
      <c r="D47" s="7" t="s">
        <v>18</v>
      </c>
      <c r="E47" s="7">
        <v>3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7" xr:uid="{00000000-0009-0000-0000-000011000000}">
    <sortState xmlns:xlrd2="http://schemas.microsoft.com/office/spreadsheetml/2017/richdata2" ref="A5:H47">
      <sortCondition ref="A4:A47"/>
    </sortState>
  </autoFilter>
  <mergeCells count="2">
    <mergeCell ref="A1:H1"/>
    <mergeCell ref="A2:H2"/>
  </mergeCells>
  <conditionalFormatting sqref="G5:G47">
    <cfRule type="expression" dxfId="167" priority="1">
      <formula>G5="OUT OF STOCK"</formula>
    </cfRule>
    <cfRule type="expression" dxfId="166" priority="2">
      <formula>G5="REORDER"</formula>
    </cfRule>
    <cfRule type="expression" dxfId="165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3" sqref="E3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25" customHeight="1" x14ac:dyDescent="0.3">
      <c r="A1" s="24" t="s">
        <v>88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89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305</v>
      </c>
      <c r="C5" s="7" t="s">
        <v>51</v>
      </c>
      <c r="D5" s="7" t="s">
        <v>53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595</v>
      </c>
      <c r="C6" s="8" t="s">
        <v>212</v>
      </c>
      <c r="D6" s="8" t="s">
        <v>214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536</v>
      </c>
      <c r="C7" s="7" t="s">
        <v>537</v>
      </c>
      <c r="D7" s="7" t="s">
        <v>538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592</v>
      </c>
      <c r="C8" s="8" t="s">
        <v>384</v>
      </c>
      <c r="D8" s="8" t="s">
        <v>385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590</v>
      </c>
      <c r="C9" s="7" t="s">
        <v>591</v>
      </c>
      <c r="D9" s="7" t="s">
        <v>523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588</v>
      </c>
      <c r="C10" s="8" t="s">
        <v>153</v>
      </c>
      <c r="D10" s="8" t="s">
        <v>154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529</v>
      </c>
      <c r="C11" s="7" t="s">
        <v>530</v>
      </c>
      <c r="D11" s="7" t="s">
        <v>531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521</v>
      </c>
      <c r="C12" s="8" t="s">
        <v>522</v>
      </c>
      <c r="D12" s="8" t="s">
        <v>523</v>
      </c>
      <c r="E12" s="8">
        <v>2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585</v>
      </c>
      <c r="C13" s="7" t="s">
        <v>519</v>
      </c>
      <c r="D13" s="7" t="s">
        <v>520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516</v>
      </c>
      <c r="C14" s="8" t="s">
        <v>225</v>
      </c>
      <c r="D14" s="8" t="s">
        <v>226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511</v>
      </c>
      <c r="C15" s="7" t="s">
        <v>512</v>
      </c>
      <c r="D15" s="7" t="s">
        <v>513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577</v>
      </c>
      <c r="C16" s="8" t="s">
        <v>578</v>
      </c>
      <c r="D16" s="8" t="s">
        <v>579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478</v>
      </c>
      <c r="C17" s="7" t="s">
        <v>43</v>
      </c>
      <c r="D17" s="7" t="s">
        <v>44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507</v>
      </c>
      <c r="C18" s="8" t="s">
        <v>43</v>
      </c>
      <c r="D18" s="8" t="s">
        <v>44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503</v>
      </c>
      <c r="C19" s="7" t="s">
        <v>43</v>
      </c>
      <c r="D19" s="7" t="s">
        <v>44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493</v>
      </c>
      <c r="C20" s="8" t="s">
        <v>217</v>
      </c>
      <c r="D20" s="8" t="s">
        <v>218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201</v>
      </c>
      <c r="C21" s="7" t="s">
        <v>31</v>
      </c>
      <c r="D21" s="7" t="s">
        <v>32</v>
      </c>
      <c r="E21" s="7">
        <v>4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455</v>
      </c>
      <c r="C22" s="8" t="s">
        <v>328</v>
      </c>
      <c r="D22" s="8" t="s">
        <v>456</v>
      </c>
      <c r="E22" s="8">
        <v>2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487</v>
      </c>
      <c r="C23" s="7" t="s">
        <v>328</v>
      </c>
      <c r="D23" s="7" t="s">
        <v>456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451</v>
      </c>
      <c r="C24" s="8" t="s">
        <v>31</v>
      </c>
      <c r="D24" s="8" t="s">
        <v>32</v>
      </c>
      <c r="E24" s="8">
        <v>4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157</v>
      </c>
      <c r="C25" s="7" t="s">
        <v>31</v>
      </c>
      <c r="D25" s="7" t="s">
        <v>32</v>
      </c>
      <c r="E25" s="7">
        <v>4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554</v>
      </c>
      <c r="C26" s="8" t="s">
        <v>555</v>
      </c>
      <c r="D26" s="8" t="s">
        <v>556</v>
      </c>
      <c r="E26" s="8">
        <v>2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552</v>
      </c>
      <c r="C27" s="7" t="s">
        <v>328</v>
      </c>
      <c r="D27" s="7" t="s">
        <v>329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323</v>
      </c>
      <c r="C28" s="8" t="s">
        <v>21</v>
      </c>
      <c r="D28" s="8" t="s">
        <v>23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471</v>
      </c>
      <c r="C29" s="7" t="s">
        <v>21</v>
      </c>
      <c r="D29" s="7" t="s">
        <v>23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440</v>
      </c>
      <c r="C30" s="8" t="s">
        <v>21</v>
      </c>
      <c r="D30" s="8" t="s">
        <v>23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439</v>
      </c>
      <c r="C31" s="7" t="s">
        <v>21</v>
      </c>
      <c r="D31" s="7" t="s">
        <v>23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33</v>
      </c>
      <c r="C32" s="8" t="s">
        <v>21</v>
      </c>
      <c r="D32" s="8" t="s">
        <v>23</v>
      </c>
      <c r="E32" s="8">
        <v>4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547</v>
      </c>
      <c r="C33" s="7" t="s">
        <v>21</v>
      </c>
      <c r="D33" s="7" t="s">
        <v>23</v>
      </c>
      <c r="E33" s="7">
        <v>1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435</v>
      </c>
      <c r="C34" s="8" t="s">
        <v>17</v>
      </c>
      <c r="D34" s="8" t="s">
        <v>18</v>
      </c>
      <c r="E34" s="8">
        <v>3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545</v>
      </c>
      <c r="C35" s="7" t="s">
        <v>17</v>
      </c>
      <c r="D35" s="7" t="s">
        <v>18</v>
      </c>
      <c r="E35" s="7">
        <v>2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/>
    <row r="37" spans="1:10" ht="15.75" customHeight="1" x14ac:dyDescent="0.3"/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35" xr:uid="{00000000-0009-0000-0000-000012000000}">
    <sortState xmlns:xlrd2="http://schemas.microsoft.com/office/spreadsheetml/2017/richdata2" ref="A5:H35">
      <sortCondition ref="A4:A35"/>
    </sortState>
  </autoFilter>
  <mergeCells count="2">
    <mergeCell ref="A1:H1"/>
    <mergeCell ref="A2:H2"/>
  </mergeCells>
  <conditionalFormatting sqref="G5:G35">
    <cfRule type="expression" dxfId="164" priority="1">
      <formula>G5="OUT OF STOCK"</formula>
    </cfRule>
    <cfRule type="expression" dxfId="163" priority="2">
      <formula>G5="REORDER"</formula>
    </cfRule>
    <cfRule type="expression" dxfId="16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8" sqref="F8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5.25" customHeight="1" x14ac:dyDescent="0.3">
      <c r="A1" s="24" t="s">
        <v>93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94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312</v>
      </c>
      <c r="C5" s="8" t="s">
        <v>51</v>
      </c>
      <c r="D5" s="8" t="s">
        <v>53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605</v>
      </c>
      <c r="C6" s="7" t="s">
        <v>212</v>
      </c>
      <c r="D6" s="7" t="s">
        <v>214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603</v>
      </c>
      <c r="C7" s="8" t="s">
        <v>299</v>
      </c>
      <c r="D7" s="8" t="s">
        <v>533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529</v>
      </c>
      <c r="C8" s="7" t="s">
        <v>530</v>
      </c>
      <c r="D8" s="7" t="s">
        <v>531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601</v>
      </c>
      <c r="C9" s="8" t="s">
        <v>522</v>
      </c>
      <c r="D9" s="8" t="s">
        <v>523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599</v>
      </c>
      <c r="C10" s="7" t="s">
        <v>519</v>
      </c>
      <c r="D10" s="7" t="s">
        <v>520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598</v>
      </c>
      <c r="C11" s="8" t="s">
        <v>225</v>
      </c>
      <c r="D11" s="8" t="s">
        <v>226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511</v>
      </c>
      <c r="C12" s="7" t="s">
        <v>512</v>
      </c>
      <c r="D12" s="7" t="s">
        <v>513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507</v>
      </c>
      <c r="C13" s="8" t="s">
        <v>43</v>
      </c>
      <c r="D13" s="8" t="s">
        <v>44</v>
      </c>
      <c r="E13" s="8">
        <v>2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503</v>
      </c>
      <c r="C14" s="7" t="s">
        <v>43</v>
      </c>
      <c r="D14" s="7" t="s">
        <v>44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493</v>
      </c>
      <c r="C15" s="8" t="s">
        <v>217</v>
      </c>
      <c r="D15" s="8" t="s">
        <v>218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455</v>
      </c>
      <c r="C16" s="7" t="s">
        <v>328</v>
      </c>
      <c r="D16" s="7" t="s">
        <v>456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487</v>
      </c>
      <c r="C17" s="8" t="s">
        <v>328</v>
      </c>
      <c r="D17" s="8" t="s">
        <v>456</v>
      </c>
      <c r="E17" s="8">
        <v>1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157</v>
      </c>
      <c r="C18" s="7" t="s">
        <v>31</v>
      </c>
      <c r="D18" s="7" t="s">
        <v>32</v>
      </c>
      <c r="E18" s="7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471</v>
      </c>
      <c r="C19" s="8" t="s">
        <v>21</v>
      </c>
      <c r="D19" s="8" t="s">
        <v>23</v>
      </c>
      <c r="E19" s="8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581</v>
      </c>
      <c r="C20" s="7" t="s">
        <v>21</v>
      </c>
      <c r="D20" s="7" t="s">
        <v>23</v>
      </c>
      <c r="E20" s="7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547</v>
      </c>
      <c r="C21" s="8" t="s">
        <v>21</v>
      </c>
      <c r="D21" s="8" t="s">
        <v>23</v>
      </c>
      <c r="E21" s="8">
        <v>1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435</v>
      </c>
      <c r="C22" s="7" t="s">
        <v>17</v>
      </c>
      <c r="D22" s="7" t="s">
        <v>18</v>
      </c>
      <c r="E22" s="7">
        <v>2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2" xr:uid="{00000000-0009-0000-0000-000013000000}">
    <sortState xmlns:xlrd2="http://schemas.microsoft.com/office/spreadsheetml/2017/richdata2" ref="A5:H22">
      <sortCondition ref="A4:A22"/>
    </sortState>
  </autoFilter>
  <mergeCells count="2">
    <mergeCell ref="A1:H1"/>
    <mergeCell ref="A2:H2"/>
  </mergeCells>
  <conditionalFormatting sqref="G5:G22">
    <cfRule type="expression" dxfId="161" priority="1">
      <formula>G5="OUT OF STOCK"</formula>
    </cfRule>
    <cfRule type="expression" dxfId="160" priority="2">
      <formula>G5="REORDER"</formula>
    </cfRule>
    <cfRule type="expression" dxfId="159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7" sqref="F7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9.4" customHeight="1" x14ac:dyDescent="0.3">
      <c r="A1" s="24" t="s">
        <v>96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97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324</v>
      </c>
      <c r="C5" s="8" t="s">
        <v>51</v>
      </c>
      <c r="D5" s="8" t="s">
        <v>53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605</v>
      </c>
      <c r="C6" s="7" t="s">
        <v>212</v>
      </c>
      <c r="D6" s="7" t="s">
        <v>214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536</v>
      </c>
      <c r="C7" s="8" t="s">
        <v>537</v>
      </c>
      <c r="D7" s="8" t="s">
        <v>538</v>
      </c>
      <c r="E7" s="8">
        <v>2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628</v>
      </c>
      <c r="C8" s="7" t="s">
        <v>299</v>
      </c>
      <c r="D8" s="7" t="s">
        <v>533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529</v>
      </c>
      <c r="C9" s="8" t="s">
        <v>530</v>
      </c>
      <c r="D9" s="8" t="s">
        <v>531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601</v>
      </c>
      <c r="C10" s="7" t="s">
        <v>522</v>
      </c>
      <c r="D10" s="7" t="s">
        <v>523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599</v>
      </c>
      <c r="C11" s="8" t="s">
        <v>519</v>
      </c>
      <c r="D11" s="8" t="s">
        <v>520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598</v>
      </c>
      <c r="C12" s="7" t="s">
        <v>225</v>
      </c>
      <c r="D12" s="7" t="s">
        <v>226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511</v>
      </c>
      <c r="C13" s="8" t="s">
        <v>512</v>
      </c>
      <c r="D13" s="8" t="s">
        <v>513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507</v>
      </c>
      <c r="C14" s="7" t="s">
        <v>43</v>
      </c>
      <c r="D14" s="7" t="s">
        <v>44</v>
      </c>
      <c r="E14" s="7">
        <v>2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503</v>
      </c>
      <c r="C15" s="8" t="s">
        <v>43</v>
      </c>
      <c r="D15" s="8" t="s">
        <v>44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493</v>
      </c>
      <c r="C16" s="7" t="s">
        <v>217</v>
      </c>
      <c r="D16" s="7" t="s">
        <v>218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455</v>
      </c>
      <c r="C17" s="8" t="s">
        <v>328</v>
      </c>
      <c r="D17" s="8" t="s">
        <v>456</v>
      </c>
      <c r="E17" s="8">
        <v>1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487</v>
      </c>
      <c r="C18" s="7" t="s">
        <v>328</v>
      </c>
      <c r="D18" s="7" t="s">
        <v>456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157</v>
      </c>
      <c r="C19" s="8" t="s">
        <v>31</v>
      </c>
      <c r="D19" s="8" t="s">
        <v>32</v>
      </c>
      <c r="E19" s="8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323</v>
      </c>
      <c r="C20" s="7" t="s">
        <v>21</v>
      </c>
      <c r="D20" s="7" t="s">
        <v>23</v>
      </c>
      <c r="E20" s="7">
        <v>2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471</v>
      </c>
      <c r="C21" s="8" t="s">
        <v>21</v>
      </c>
      <c r="D21" s="8" t="s">
        <v>23</v>
      </c>
      <c r="E21" s="8">
        <v>2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33</v>
      </c>
      <c r="C22" s="7" t="s">
        <v>21</v>
      </c>
      <c r="D22" s="7" t="s">
        <v>23</v>
      </c>
      <c r="E22" s="7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547</v>
      </c>
      <c r="C23" s="8" t="s">
        <v>21</v>
      </c>
      <c r="D23" s="8" t="s">
        <v>23</v>
      </c>
      <c r="E23" s="8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435</v>
      </c>
      <c r="C24" s="7" t="s">
        <v>17</v>
      </c>
      <c r="D24" s="7" t="s">
        <v>18</v>
      </c>
      <c r="E24" s="7">
        <v>2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4" xr:uid="{00000000-0009-0000-0000-000014000000}">
    <sortState xmlns:xlrd2="http://schemas.microsoft.com/office/spreadsheetml/2017/richdata2" ref="A5:H24">
      <sortCondition ref="A4:A24"/>
    </sortState>
  </autoFilter>
  <mergeCells count="2">
    <mergeCell ref="A1:H1"/>
    <mergeCell ref="A2:H2"/>
  </mergeCells>
  <conditionalFormatting sqref="G5:G24">
    <cfRule type="expression" dxfId="158" priority="1">
      <formula>G5="OUT OF STOCK"</formula>
    </cfRule>
    <cfRule type="expression" dxfId="157" priority="2">
      <formula>G5="REORDER"</formula>
    </cfRule>
    <cfRule type="expression" dxfId="15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9" sqref="E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3.65" customHeight="1" x14ac:dyDescent="0.3">
      <c r="A1" s="24" t="s">
        <v>98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99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335</v>
      </c>
      <c r="C5" s="8" t="s">
        <v>51</v>
      </c>
      <c r="D5" s="8" t="s">
        <v>53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624</v>
      </c>
      <c r="C6" s="7" t="s">
        <v>212</v>
      </c>
      <c r="D6" s="7" t="s">
        <v>214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620</v>
      </c>
      <c r="C7" s="8" t="s">
        <v>621</v>
      </c>
      <c r="D7" s="8" t="s">
        <v>622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521</v>
      </c>
      <c r="C8" s="7" t="s">
        <v>522</v>
      </c>
      <c r="D8" s="7" t="s">
        <v>523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618</v>
      </c>
      <c r="C9" s="8" t="s">
        <v>512</v>
      </c>
      <c r="D9" s="8" t="s">
        <v>513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617</v>
      </c>
      <c r="C10" s="7" t="s">
        <v>43</v>
      </c>
      <c r="D10" s="7" t="s">
        <v>44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493</v>
      </c>
      <c r="C11" s="8" t="s">
        <v>217</v>
      </c>
      <c r="D11" s="8" t="s">
        <v>218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487</v>
      </c>
      <c r="C12" s="7" t="s">
        <v>328</v>
      </c>
      <c r="D12" s="7" t="s">
        <v>456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483</v>
      </c>
      <c r="C13" s="8" t="s">
        <v>328</v>
      </c>
      <c r="D13" s="8" t="s">
        <v>456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610</v>
      </c>
      <c r="C14" s="7" t="s">
        <v>31</v>
      </c>
      <c r="D14" s="7" t="s">
        <v>32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609</v>
      </c>
      <c r="C15" s="8" t="s">
        <v>21</v>
      </c>
      <c r="D15" s="8" t="s">
        <v>23</v>
      </c>
      <c r="E15" s="8">
        <v>2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435</v>
      </c>
      <c r="C16" s="7" t="s">
        <v>17</v>
      </c>
      <c r="D16" s="7" t="s">
        <v>18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6" xr:uid="{00000000-0009-0000-0000-000015000000}">
    <sortState xmlns:xlrd2="http://schemas.microsoft.com/office/spreadsheetml/2017/richdata2" ref="A5:H16">
      <sortCondition ref="A4:A16"/>
    </sortState>
  </autoFilter>
  <mergeCells count="2">
    <mergeCell ref="A1:H1"/>
    <mergeCell ref="A2:H2"/>
  </mergeCells>
  <conditionalFormatting sqref="G5:G16">
    <cfRule type="expression" dxfId="155" priority="1">
      <formula>G5="OUT OF STOCK"</formula>
    </cfRule>
    <cfRule type="expression" dxfId="154" priority="2">
      <formula>G5="REORDER"</formula>
    </cfRule>
    <cfRule type="expression" dxfId="153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3" sqref="E3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6.4" customHeight="1" x14ac:dyDescent="0.3">
      <c r="A1" s="24" t="s">
        <v>103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104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330</v>
      </c>
      <c r="C5" s="7" t="s">
        <v>51</v>
      </c>
      <c r="D5" s="7" t="s">
        <v>53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682</v>
      </c>
      <c r="C6" s="8" t="s">
        <v>212</v>
      </c>
      <c r="D6" s="8" t="s">
        <v>214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574</v>
      </c>
      <c r="C7" s="7" t="s">
        <v>530</v>
      </c>
      <c r="D7" s="7" t="s">
        <v>531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571</v>
      </c>
      <c r="C8" s="8" t="s">
        <v>138</v>
      </c>
      <c r="D8" s="8" t="s">
        <v>139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674</v>
      </c>
      <c r="C9" s="7" t="s">
        <v>91</v>
      </c>
      <c r="D9" s="7" t="s">
        <v>92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536</v>
      </c>
      <c r="C10" s="8" t="s">
        <v>537</v>
      </c>
      <c r="D10" s="8" t="s">
        <v>538</v>
      </c>
      <c r="E10" s="8">
        <v>4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566</v>
      </c>
      <c r="C11" s="7" t="s">
        <v>399</v>
      </c>
      <c r="D11" s="7" t="s">
        <v>400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669</v>
      </c>
      <c r="C12" s="8" t="s">
        <v>299</v>
      </c>
      <c r="D12" s="8" t="s">
        <v>533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667</v>
      </c>
      <c r="C13" s="7" t="s">
        <v>299</v>
      </c>
      <c r="D13" s="7" t="s">
        <v>533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529</v>
      </c>
      <c r="C14" s="8" t="s">
        <v>530</v>
      </c>
      <c r="D14" s="8" t="s">
        <v>531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528</v>
      </c>
      <c r="C15" s="7" t="s">
        <v>399</v>
      </c>
      <c r="D15" s="7" t="s">
        <v>400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661</v>
      </c>
      <c r="C16" s="8" t="s">
        <v>212</v>
      </c>
      <c r="D16" s="8" t="s">
        <v>214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521</v>
      </c>
      <c r="C17" s="7" t="s">
        <v>522</v>
      </c>
      <c r="D17" s="7" t="s">
        <v>523</v>
      </c>
      <c r="E17" s="7">
        <v>4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518</v>
      </c>
      <c r="C18" s="8" t="s">
        <v>519</v>
      </c>
      <c r="D18" s="8" t="s">
        <v>520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516</v>
      </c>
      <c r="C19" s="7" t="s">
        <v>225</v>
      </c>
      <c r="D19" s="7" t="s">
        <v>226</v>
      </c>
      <c r="E19" s="7">
        <v>4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511</v>
      </c>
      <c r="C20" s="8" t="s">
        <v>512</v>
      </c>
      <c r="D20" s="8" t="s">
        <v>513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478</v>
      </c>
      <c r="C21" s="7" t="s">
        <v>43</v>
      </c>
      <c r="D21" s="7" t="s">
        <v>44</v>
      </c>
      <c r="E21" s="7">
        <v>4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507</v>
      </c>
      <c r="C22" s="8" t="s">
        <v>43</v>
      </c>
      <c r="D22" s="8" t="s">
        <v>44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503</v>
      </c>
      <c r="C23" s="7" t="s">
        <v>43</v>
      </c>
      <c r="D23" s="7" t="s">
        <v>44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541</v>
      </c>
      <c r="C24" s="8" t="s">
        <v>542</v>
      </c>
      <c r="D24" s="8" t="s">
        <v>523</v>
      </c>
      <c r="E24" s="8">
        <v>2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493</v>
      </c>
      <c r="C25" s="7" t="s">
        <v>217</v>
      </c>
      <c r="D25" s="7" t="s">
        <v>218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649</v>
      </c>
      <c r="C26" s="8" t="s">
        <v>217</v>
      </c>
      <c r="D26" s="8" t="s">
        <v>218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184</v>
      </c>
      <c r="C27" s="7" t="s">
        <v>31</v>
      </c>
      <c r="D27" s="7" t="s">
        <v>32</v>
      </c>
      <c r="E27" s="7">
        <v>3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201</v>
      </c>
      <c r="C28" s="8" t="s">
        <v>31</v>
      </c>
      <c r="D28" s="8" t="s">
        <v>32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539</v>
      </c>
      <c r="C29" s="7" t="s">
        <v>328</v>
      </c>
      <c r="D29" s="7" t="s">
        <v>456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487</v>
      </c>
      <c r="C30" s="8" t="s">
        <v>328</v>
      </c>
      <c r="D30" s="8" t="s">
        <v>456</v>
      </c>
      <c r="E30" s="8">
        <v>2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483</v>
      </c>
      <c r="C31" s="7" t="s">
        <v>328</v>
      </c>
      <c r="D31" s="7" t="s">
        <v>456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451</v>
      </c>
      <c r="C32" s="8" t="s">
        <v>31</v>
      </c>
      <c r="D32" s="8" t="s">
        <v>32</v>
      </c>
      <c r="E32" s="8">
        <v>4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29</v>
      </c>
      <c r="C33" s="7" t="s">
        <v>31</v>
      </c>
      <c r="D33" s="7" t="s">
        <v>32</v>
      </c>
      <c r="E33" s="7">
        <v>3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157</v>
      </c>
      <c r="C34" s="8" t="s">
        <v>31</v>
      </c>
      <c r="D34" s="8" t="s">
        <v>32</v>
      </c>
      <c r="E34" s="8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525</v>
      </c>
      <c r="C35" s="7" t="s">
        <v>328</v>
      </c>
      <c r="D35" s="7" t="s">
        <v>329</v>
      </c>
      <c r="E35" s="7">
        <v>1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323</v>
      </c>
      <c r="C36" s="8" t="s">
        <v>21</v>
      </c>
      <c r="D36" s="8" t="s">
        <v>23</v>
      </c>
      <c r="E36" s="8">
        <v>4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471</v>
      </c>
      <c r="C37" s="7" t="s">
        <v>21</v>
      </c>
      <c r="D37" s="7" t="s">
        <v>23</v>
      </c>
      <c r="E37" s="7">
        <v>4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441</v>
      </c>
      <c r="C38" s="8" t="s">
        <v>21</v>
      </c>
      <c r="D38" s="8" t="s">
        <v>23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440</v>
      </c>
      <c r="C39" s="7" t="s">
        <v>21</v>
      </c>
      <c r="D39" s="7" t="s">
        <v>23</v>
      </c>
      <c r="E39" s="7">
        <v>2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634</v>
      </c>
      <c r="C40" s="8" t="s">
        <v>21</v>
      </c>
      <c r="D40" s="8" t="s">
        <v>23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61</v>
      </c>
      <c r="C41" s="7" t="s">
        <v>21</v>
      </c>
      <c r="D41" s="7" t="s">
        <v>23</v>
      </c>
      <c r="E41" s="7">
        <v>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632</v>
      </c>
      <c r="C42" s="8" t="s">
        <v>21</v>
      </c>
      <c r="D42" s="8" t="s">
        <v>23</v>
      </c>
      <c r="E42" s="8">
        <v>1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547</v>
      </c>
      <c r="C43" s="7" t="s">
        <v>21</v>
      </c>
      <c r="D43" s="7" t="s">
        <v>23</v>
      </c>
      <c r="E43" s="7">
        <v>1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460</v>
      </c>
      <c r="C44" s="8" t="s">
        <v>21</v>
      </c>
      <c r="D44" s="8" t="s">
        <v>23</v>
      </c>
      <c r="E44" s="8">
        <v>1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435</v>
      </c>
      <c r="C45" s="7" t="s">
        <v>17</v>
      </c>
      <c r="D45" s="7" t="s">
        <v>18</v>
      </c>
      <c r="E45" s="7">
        <v>4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5" xr:uid="{00000000-0009-0000-0000-000016000000}">
    <sortState xmlns:xlrd2="http://schemas.microsoft.com/office/spreadsheetml/2017/richdata2" ref="A5:H45">
      <sortCondition ref="A4:A45"/>
    </sortState>
  </autoFilter>
  <mergeCells count="2">
    <mergeCell ref="A1:H1"/>
    <mergeCell ref="A2:H2"/>
  </mergeCells>
  <conditionalFormatting sqref="G5:G45">
    <cfRule type="expression" dxfId="152" priority="1">
      <formula>G5="OUT OF STOCK"</formula>
    </cfRule>
    <cfRule type="expression" dxfId="151" priority="2">
      <formula>G5="REORDER"</formula>
    </cfRule>
    <cfRule type="expression" dxfId="15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7" sqref="F7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105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106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339</v>
      </c>
      <c r="C5" s="8" t="s">
        <v>51</v>
      </c>
      <c r="D5" s="8" t="s">
        <v>53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693</v>
      </c>
      <c r="C6" s="7" t="s">
        <v>212</v>
      </c>
      <c r="D6" s="7" t="s">
        <v>214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536</v>
      </c>
      <c r="C7" s="8" t="s">
        <v>537</v>
      </c>
      <c r="D7" s="8" t="s">
        <v>538</v>
      </c>
      <c r="E7" s="8">
        <v>2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561</v>
      </c>
      <c r="C8" s="7" t="s">
        <v>299</v>
      </c>
      <c r="D8" s="7" t="s">
        <v>533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692</v>
      </c>
      <c r="C9" s="8" t="s">
        <v>153</v>
      </c>
      <c r="D9" s="8" t="s">
        <v>154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686</v>
      </c>
      <c r="C10" s="7" t="s">
        <v>297</v>
      </c>
      <c r="D10" s="7" t="s">
        <v>82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529</v>
      </c>
      <c r="C11" s="8" t="s">
        <v>530</v>
      </c>
      <c r="D11" s="8" t="s">
        <v>531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679</v>
      </c>
      <c r="C12" s="7" t="s">
        <v>680</v>
      </c>
      <c r="D12" s="7" t="s">
        <v>681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677</v>
      </c>
      <c r="C13" s="8" t="s">
        <v>399</v>
      </c>
      <c r="D13" s="8" t="s">
        <v>400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675</v>
      </c>
      <c r="C14" s="7" t="s">
        <v>43</v>
      </c>
      <c r="D14" s="7" t="s">
        <v>44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521</v>
      </c>
      <c r="C15" s="8" t="s">
        <v>522</v>
      </c>
      <c r="D15" s="8" t="s">
        <v>523</v>
      </c>
      <c r="E15" s="8">
        <v>2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585</v>
      </c>
      <c r="C16" s="7" t="s">
        <v>519</v>
      </c>
      <c r="D16" s="7" t="s">
        <v>520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516</v>
      </c>
      <c r="C17" s="8" t="s">
        <v>225</v>
      </c>
      <c r="D17" s="8" t="s">
        <v>226</v>
      </c>
      <c r="E17" s="8">
        <v>2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511</v>
      </c>
      <c r="C18" s="7" t="s">
        <v>512</v>
      </c>
      <c r="D18" s="7" t="s">
        <v>513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670</v>
      </c>
      <c r="C19" s="8" t="s">
        <v>578</v>
      </c>
      <c r="D19" s="8" t="s">
        <v>579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478</v>
      </c>
      <c r="C20" s="7" t="s">
        <v>43</v>
      </c>
      <c r="D20" s="7" t="s">
        <v>44</v>
      </c>
      <c r="E20" s="7">
        <v>3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503</v>
      </c>
      <c r="C21" s="8" t="s">
        <v>43</v>
      </c>
      <c r="D21" s="8" t="s">
        <v>44</v>
      </c>
      <c r="E21" s="8">
        <v>1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493</v>
      </c>
      <c r="C22" s="7" t="s">
        <v>217</v>
      </c>
      <c r="D22" s="7" t="s">
        <v>218</v>
      </c>
      <c r="E22" s="7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201</v>
      </c>
      <c r="C23" s="8" t="s">
        <v>31</v>
      </c>
      <c r="D23" s="8" t="s">
        <v>32</v>
      </c>
      <c r="E23" s="8">
        <v>2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539</v>
      </c>
      <c r="C24" s="7" t="s">
        <v>328</v>
      </c>
      <c r="D24" s="7" t="s">
        <v>456</v>
      </c>
      <c r="E24" s="7">
        <v>1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455</v>
      </c>
      <c r="C25" s="8" t="s">
        <v>328</v>
      </c>
      <c r="D25" s="8" t="s">
        <v>456</v>
      </c>
      <c r="E25" s="8">
        <v>1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451</v>
      </c>
      <c r="C26" s="7" t="s">
        <v>31</v>
      </c>
      <c r="D26" s="7" t="s">
        <v>32</v>
      </c>
      <c r="E26" s="7">
        <v>2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157</v>
      </c>
      <c r="C27" s="8" t="s">
        <v>31</v>
      </c>
      <c r="D27" s="8" t="s">
        <v>32</v>
      </c>
      <c r="E27" s="8">
        <v>2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554</v>
      </c>
      <c r="C28" s="7" t="s">
        <v>555</v>
      </c>
      <c r="D28" s="7" t="s">
        <v>556</v>
      </c>
      <c r="E28" s="7">
        <v>2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525</v>
      </c>
      <c r="C29" s="8" t="s">
        <v>328</v>
      </c>
      <c r="D29" s="8" t="s">
        <v>329</v>
      </c>
      <c r="E29" s="8">
        <v>2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552</v>
      </c>
      <c r="C30" s="7" t="s">
        <v>328</v>
      </c>
      <c r="D30" s="7" t="s">
        <v>329</v>
      </c>
      <c r="E30" s="7">
        <v>2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323</v>
      </c>
      <c r="C31" s="8" t="s">
        <v>21</v>
      </c>
      <c r="D31" s="8" t="s">
        <v>23</v>
      </c>
      <c r="E31" s="8">
        <v>2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85</v>
      </c>
      <c r="C32" s="7" t="s">
        <v>21</v>
      </c>
      <c r="D32" s="7" t="s">
        <v>23</v>
      </c>
      <c r="E32" s="7">
        <v>4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471</v>
      </c>
      <c r="C33" s="8" t="s">
        <v>21</v>
      </c>
      <c r="D33" s="8" t="s">
        <v>23</v>
      </c>
      <c r="E33" s="8">
        <v>2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640</v>
      </c>
      <c r="C34" s="7" t="s">
        <v>21</v>
      </c>
      <c r="D34" s="7" t="s">
        <v>23</v>
      </c>
      <c r="E34" s="7">
        <v>1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440</v>
      </c>
      <c r="C35" s="8" t="s">
        <v>21</v>
      </c>
      <c r="D35" s="8" t="s">
        <v>23</v>
      </c>
      <c r="E35" s="8">
        <v>1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40</v>
      </c>
      <c r="C36" s="7" t="s">
        <v>21</v>
      </c>
      <c r="D36" s="7" t="s">
        <v>23</v>
      </c>
      <c r="E36" s="7">
        <v>2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435</v>
      </c>
      <c r="C37" s="8" t="s">
        <v>17</v>
      </c>
      <c r="D37" s="8" t="s">
        <v>18</v>
      </c>
      <c r="E37" s="8">
        <v>2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545</v>
      </c>
      <c r="C38" s="7" t="s">
        <v>17</v>
      </c>
      <c r="D38" s="7" t="s">
        <v>18</v>
      </c>
      <c r="E38" s="7">
        <v>2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38" xr:uid="{00000000-0009-0000-0000-000017000000}">
    <sortState xmlns:xlrd2="http://schemas.microsoft.com/office/spreadsheetml/2017/richdata2" ref="A5:H38">
      <sortCondition ref="A4:A38"/>
    </sortState>
  </autoFilter>
  <mergeCells count="2">
    <mergeCell ref="A1:H1"/>
    <mergeCell ref="A2:H2"/>
  </mergeCells>
  <conditionalFormatting sqref="G5:G38">
    <cfRule type="expression" dxfId="149" priority="1">
      <formula>G5="OUT OF STOCK"</formula>
    </cfRule>
    <cfRule type="expression" dxfId="148" priority="2">
      <formula>G5="REORDER"</formula>
    </cfRule>
    <cfRule type="expression" dxfId="14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3" sqref="F3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0" customHeight="1" x14ac:dyDescent="0.3">
      <c r="A1" s="24" t="s">
        <v>108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109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298</v>
      </c>
      <c r="C5" s="7" t="s">
        <v>299</v>
      </c>
      <c r="D5" s="7" t="s">
        <v>300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344</v>
      </c>
      <c r="C6" s="8" t="s">
        <v>51</v>
      </c>
      <c r="D6" s="8" t="s">
        <v>53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536</v>
      </c>
      <c r="C7" s="7" t="s">
        <v>537</v>
      </c>
      <c r="D7" s="7" t="s">
        <v>538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687</v>
      </c>
      <c r="C8" s="8" t="s">
        <v>153</v>
      </c>
      <c r="D8" s="8" t="s">
        <v>154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686</v>
      </c>
      <c r="C9" s="7" t="s">
        <v>297</v>
      </c>
      <c r="D9" s="7" t="s">
        <v>82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529</v>
      </c>
      <c r="C10" s="8" t="s">
        <v>530</v>
      </c>
      <c r="D10" s="8" t="s">
        <v>531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679</v>
      </c>
      <c r="C11" s="7" t="s">
        <v>680</v>
      </c>
      <c r="D11" s="7" t="s">
        <v>681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677</v>
      </c>
      <c r="C12" s="8" t="s">
        <v>399</v>
      </c>
      <c r="D12" s="8" t="s">
        <v>400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675</v>
      </c>
      <c r="C13" s="7" t="s">
        <v>43</v>
      </c>
      <c r="D13" s="7" t="s">
        <v>44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672</v>
      </c>
      <c r="C14" s="8" t="s">
        <v>212</v>
      </c>
      <c r="D14" s="8" t="s">
        <v>214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521</v>
      </c>
      <c r="C15" s="7" t="s">
        <v>522</v>
      </c>
      <c r="D15" s="7" t="s">
        <v>523</v>
      </c>
      <c r="E15" s="7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585</v>
      </c>
      <c r="C16" s="8" t="s">
        <v>519</v>
      </c>
      <c r="D16" s="8" t="s">
        <v>520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516</v>
      </c>
      <c r="C17" s="7" t="s">
        <v>225</v>
      </c>
      <c r="D17" s="7" t="s">
        <v>226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511</v>
      </c>
      <c r="C18" s="8" t="s">
        <v>512</v>
      </c>
      <c r="D18" s="8" t="s">
        <v>513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577</v>
      </c>
      <c r="C19" s="7" t="s">
        <v>578</v>
      </c>
      <c r="D19" s="7" t="s">
        <v>579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478</v>
      </c>
      <c r="C20" s="8" t="s">
        <v>43</v>
      </c>
      <c r="D20" s="8" t="s">
        <v>44</v>
      </c>
      <c r="E20" s="8">
        <v>3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503</v>
      </c>
      <c r="C21" s="7" t="s">
        <v>43</v>
      </c>
      <c r="D21" s="7" t="s">
        <v>44</v>
      </c>
      <c r="E21" s="7">
        <v>1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493</v>
      </c>
      <c r="C22" s="8" t="s">
        <v>217</v>
      </c>
      <c r="D22" s="8" t="s">
        <v>218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201</v>
      </c>
      <c r="C23" s="7" t="s">
        <v>31</v>
      </c>
      <c r="D23" s="7" t="s">
        <v>32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539</v>
      </c>
      <c r="C24" s="8" t="s">
        <v>328</v>
      </c>
      <c r="D24" s="8" t="s">
        <v>456</v>
      </c>
      <c r="E24" s="8">
        <v>1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455</v>
      </c>
      <c r="C25" s="7" t="s">
        <v>328</v>
      </c>
      <c r="D25" s="7" t="s">
        <v>456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451</v>
      </c>
      <c r="C26" s="8" t="s">
        <v>31</v>
      </c>
      <c r="D26" s="8" t="s">
        <v>32</v>
      </c>
      <c r="E26" s="8">
        <v>2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157</v>
      </c>
      <c r="C27" s="7" t="s">
        <v>31</v>
      </c>
      <c r="D27" s="7" t="s">
        <v>32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554</v>
      </c>
      <c r="C28" s="8" t="s">
        <v>555</v>
      </c>
      <c r="D28" s="8" t="s">
        <v>556</v>
      </c>
      <c r="E28" s="8">
        <v>2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552</v>
      </c>
      <c r="C29" s="7" t="s">
        <v>328</v>
      </c>
      <c r="D29" s="7" t="s">
        <v>329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323</v>
      </c>
      <c r="C30" s="8" t="s">
        <v>21</v>
      </c>
      <c r="D30" s="8" t="s">
        <v>23</v>
      </c>
      <c r="E30" s="8">
        <v>2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85</v>
      </c>
      <c r="C31" s="7" t="s">
        <v>21</v>
      </c>
      <c r="D31" s="7" t="s">
        <v>23</v>
      </c>
      <c r="E31" s="7">
        <v>4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471</v>
      </c>
      <c r="C32" s="8" t="s">
        <v>21</v>
      </c>
      <c r="D32" s="8" t="s">
        <v>23</v>
      </c>
      <c r="E32" s="8">
        <v>2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640</v>
      </c>
      <c r="C33" s="7" t="s">
        <v>21</v>
      </c>
      <c r="D33" s="7" t="s">
        <v>23</v>
      </c>
      <c r="E33" s="7">
        <v>1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440</v>
      </c>
      <c r="C34" s="8" t="s">
        <v>21</v>
      </c>
      <c r="D34" s="8" t="s">
        <v>23</v>
      </c>
      <c r="E34" s="8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40</v>
      </c>
      <c r="C35" s="7" t="s">
        <v>21</v>
      </c>
      <c r="D35" s="7" t="s">
        <v>23</v>
      </c>
      <c r="E35" s="7">
        <v>2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435</v>
      </c>
      <c r="C36" s="8" t="s">
        <v>17</v>
      </c>
      <c r="D36" s="8" t="s">
        <v>18</v>
      </c>
      <c r="E36" s="8">
        <v>2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545</v>
      </c>
      <c r="C37" s="7" t="s">
        <v>17</v>
      </c>
      <c r="D37" s="7" t="s">
        <v>18</v>
      </c>
      <c r="E37" s="7">
        <v>2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37" xr:uid="{00000000-0009-0000-0000-000018000000}">
    <sortState xmlns:xlrd2="http://schemas.microsoft.com/office/spreadsheetml/2017/richdata2" ref="A5:H37">
      <sortCondition ref="A4:A37"/>
    </sortState>
  </autoFilter>
  <mergeCells count="2">
    <mergeCell ref="A1:H1"/>
    <mergeCell ref="A2:H2"/>
  </mergeCells>
  <conditionalFormatting sqref="G5:G37">
    <cfRule type="expression" dxfId="146" priority="1">
      <formula>G5="OUT OF STOCK"</formula>
    </cfRule>
    <cfRule type="expression" dxfId="145" priority="2">
      <formula>G5="REORDER"</formula>
    </cfRule>
    <cfRule type="expression" dxfId="14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B3" sqref="B3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" customHeight="1" x14ac:dyDescent="0.3">
      <c r="A1" s="24" t="s">
        <v>110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112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233</v>
      </c>
      <c r="C5" s="8" t="s">
        <v>21</v>
      </c>
      <c r="D5" s="8" t="s">
        <v>23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347</v>
      </c>
      <c r="C6" s="7" t="s">
        <v>51</v>
      </c>
      <c r="D6" s="7" t="s">
        <v>53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393</v>
      </c>
      <c r="C7" s="8" t="s">
        <v>299</v>
      </c>
      <c r="D7" s="8" t="s">
        <v>300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694</v>
      </c>
      <c r="C8" s="7" t="s">
        <v>212</v>
      </c>
      <c r="D8" s="7" t="s">
        <v>214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705</v>
      </c>
      <c r="C9" s="8" t="s">
        <v>192</v>
      </c>
      <c r="D9" s="8" t="s">
        <v>193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536</v>
      </c>
      <c r="C10" s="7" t="s">
        <v>537</v>
      </c>
      <c r="D10" s="7" t="s">
        <v>538</v>
      </c>
      <c r="E10" s="7">
        <v>2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715</v>
      </c>
      <c r="C11" s="8" t="s">
        <v>399</v>
      </c>
      <c r="D11" s="8" t="s">
        <v>400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529</v>
      </c>
      <c r="C12" s="7" t="s">
        <v>530</v>
      </c>
      <c r="D12" s="7" t="s">
        <v>531</v>
      </c>
      <c r="E12" s="7">
        <v>2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521</v>
      </c>
      <c r="C13" s="8" t="s">
        <v>522</v>
      </c>
      <c r="D13" s="8" t="s">
        <v>523</v>
      </c>
      <c r="E13" s="8">
        <v>2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585</v>
      </c>
      <c r="C14" s="7" t="s">
        <v>519</v>
      </c>
      <c r="D14" s="7" t="s">
        <v>520</v>
      </c>
      <c r="E14" s="7">
        <v>2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719</v>
      </c>
      <c r="C15" s="8" t="s">
        <v>225</v>
      </c>
      <c r="D15" s="8" t="s">
        <v>226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618</v>
      </c>
      <c r="C16" s="7" t="s">
        <v>512</v>
      </c>
      <c r="D16" s="7" t="s">
        <v>513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713</v>
      </c>
      <c r="C17" s="8" t="s">
        <v>43</v>
      </c>
      <c r="D17" s="8" t="s">
        <v>44</v>
      </c>
      <c r="E17" s="8">
        <v>3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507</v>
      </c>
      <c r="C18" s="7" t="s">
        <v>43</v>
      </c>
      <c r="D18" s="7" t="s">
        <v>44</v>
      </c>
      <c r="E18" s="7">
        <v>3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617</v>
      </c>
      <c r="C19" s="8" t="s">
        <v>43</v>
      </c>
      <c r="D19" s="8" t="s">
        <v>44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493</v>
      </c>
      <c r="C20" s="7" t="s">
        <v>217</v>
      </c>
      <c r="D20" s="7" t="s">
        <v>218</v>
      </c>
      <c r="E20" s="7">
        <v>2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201</v>
      </c>
      <c r="C21" s="8" t="s">
        <v>31</v>
      </c>
      <c r="D21" s="8" t="s">
        <v>32</v>
      </c>
      <c r="E21" s="8">
        <v>2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487</v>
      </c>
      <c r="C22" s="7" t="s">
        <v>328</v>
      </c>
      <c r="D22" s="7" t="s">
        <v>456</v>
      </c>
      <c r="E22" s="7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483</v>
      </c>
      <c r="C23" s="8" t="s">
        <v>328</v>
      </c>
      <c r="D23" s="8" t="s">
        <v>456</v>
      </c>
      <c r="E23" s="8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610</v>
      </c>
      <c r="C24" s="7" t="s">
        <v>31</v>
      </c>
      <c r="D24" s="7" t="s">
        <v>32</v>
      </c>
      <c r="E24" s="7">
        <v>2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157</v>
      </c>
      <c r="C25" s="8" t="s">
        <v>31</v>
      </c>
      <c r="D25" s="8" t="s">
        <v>32</v>
      </c>
      <c r="E25" s="8">
        <v>2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323</v>
      </c>
      <c r="C26" s="7" t="s">
        <v>21</v>
      </c>
      <c r="D26" s="7" t="s">
        <v>23</v>
      </c>
      <c r="E26" s="7">
        <v>2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471</v>
      </c>
      <c r="C27" s="8" t="s">
        <v>21</v>
      </c>
      <c r="D27" s="8" t="s">
        <v>23</v>
      </c>
      <c r="E27" s="8">
        <v>4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490</v>
      </c>
      <c r="C28" s="7" t="s">
        <v>21</v>
      </c>
      <c r="D28" s="7" t="s">
        <v>23</v>
      </c>
      <c r="E28" s="7">
        <v>2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695</v>
      </c>
      <c r="C29" s="8" t="s">
        <v>21</v>
      </c>
      <c r="D29" s="8" t="s">
        <v>23</v>
      </c>
      <c r="E29" s="8">
        <v>1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435</v>
      </c>
      <c r="C30" s="7" t="s">
        <v>17</v>
      </c>
      <c r="D30" s="7" t="s">
        <v>18</v>
      </c>
      <c r="E30" s="7">
        <v>2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30" xr:uid="{00000000-0009-0000-0000-000019000000}">
    <sortState xmlns:xlrd2="http://schemas.microsoft.com/office/spreadsheetml/2017/richdata2" ref="A5:H30">
      <sortCondition ref="A4:A30"/>
    </sortState>
  </autoFilter>
  <mergeCells count="2">
    <mergeCell ref="A1:H1"/>
    <mergeCell ref="A2:H2"/>
  </mergeCells>
  <conditionalFormatting sqref="G5:G30">
    <cfRule type="expression" dxfId="143" priority="1">
      <formula>G5="OUT OF STOCK"</formula>
    </cfRule>
    <cfRule type="expression" dxfId="142" priority="2">
      <formula>G5="REORDER"</formula>
    </cfRule>
    <cfRule type="expression" dxfId="14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5" sqref="E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75" customHeight="1" x14ac:dyDescent="0.3">
      <c r="A1" s="24" t="s">
        <v>113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114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79</v>
      </c>
      <c r="C5" s="7" t="s">
        <v>81</v>
      </c>
      <c r="D5" s="7" t="s">
        <v>82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449</v>
      </c>
      <c r="C6" s="8" t="s">
        <v>138</v>
      </c>
      <c r="D6" s="8" t="s">
        <v>139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697</v>
      </c>
      <c r="C7" s="7" t="s">
        <v>698</v>
      </c>
      <c r="D7" s="7" t="s">
        <v>681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699</v>
      </c>
      <c r="C8" s="8" t="s">
        <v>621</v>
      </c>
      <c r="D8" s="8" t="s">
        <v>622</v>
      </c>
      <c r="E8" s="8">
        <v>4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701</v>
      </c>
      <c r="C9" s="7" t="s">
        <v>702</v>
      </c>
      <c r="D9" s="7" t="s">
        <v>703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536</v>
      </c>
      <c r="C10" s="8" t="s">
        <v>537</v>
      </c>
      <c r="D10" s="8" t="s">
        <v>538</v>
      </c>
      <c r="E10" s="8">
        <v>2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708</v>
      </c>
      <c r="C11" s="7" t="s">
        <v>555</v>
      </c>
      <c r="D11" s="7" t="s">
        <v>556</v>
      </c>
      <c r="E11" s="7">
        <v>2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743</v>
      </c>
      <c r="C12" s="8" t="s">
        <v>21</v>
      </c>
      <c r="D12" s="8" t="s">
        <v>23</v>
      </c>
      <c r="E12" s="8">
        <v>2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742</v>
      </c>
      <c r="C13" s="7" t="s">
        <v>212</v>
      </c>
      <c r="D13" s="7" t="s">
        <v>214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740</v>
      </c>
      <c r="C14" s="8" t="s">
        <v>303</v>
      </c>
      <c r="D14" s="8" t="s">
        <v>303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739</v>
      </c>
      <c r="C15" s="7" t="s">
        <v>21</v>
      </c>
      <c r="D15" s="7" t="s">
        <v>23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738</v>
      </c>
      <c r="C16" s="8" t="s">
        <v>272</v>
      </c>
      <c r="D16" s="8" t="s">
        <v>273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737</v>
      </c>
      <c r="C17" s="7" t="s">
        <v>299</v>
      </c>
      <c r="D17" s="7" t="s">
        <v>300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736</v>
      </c>
      <c r="C18" s="8" t="s">
        <v>399</v>
      </c>
      <c r="D18" s="8" t="s">
        <v>400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735</v>
      </c>
      <c r="C19" s="7" t="s">
        <v>51</v>
      </c>
      <c r="D19" s="7" t="s">
        <v>53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601</v>
      </c>
      <c r="C20" s="8" t="s">
        <v>522</v>
      </c>
      <c r="D20" s="8" t="s">
        <v>523</v>
      </c>
      <c r="E20" s="8">
        <v>2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719</v>
      </c>
      <c r="C21" s="7" t="s">
        <v>225</v>
      </c>
      <c r="D21" s="7" t="s">
        <v>226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730</v>
      </c>
      <c r="C22" s="8" t="s">
        <v>731</v>
      </c>
      <c r="D22" s="8" t="s">
        <v>732</v>
      </c>
      <c r="E22" s="8">
        <v>2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618</v>
      </c>
      <c r="C23" s="7" t="s">
        <v>512</v>
      </c>
      <c r="D23" s="7" t="s">
        <v>513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725</v>
      </c>
      <c r="C24" s="8" t="s">
        <v>726</v>
      </c>
      <c r="D24" s="8" t="s">
        <v>727</v>
      </c>
      <c r="E24" s="8">
        <v>1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485</v>
      </c>
      <c r="C25" s="7" t="s">
        <v>480</v>
      </c>
      <c r="D25" s="7" t="s">
        <v>482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478</v>
      </c>
      <c r="C26" s="8" t="s">
        <v>43</v>
      </c>
      <c r="D26" s="8" t="s">
        <v>44</v>
      </c>
      <c r="E26" s="8">
        <v>2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713</v>
      </c>
      <c r="C27" s="7" t="s">
        <v>43</v>
      </c>
      <c r="D27" s="7" t="s">
        <v>44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617</v>
      </c>
      <c r="C28" s="8" t="s">
        <v>43</v>
      </c>
      <c r="D28" s="8" t="s">
        <v>44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465</v>
      </c>
      <c r="C29" s="7" t="s">
        <v>217</v>
      </c>
      <c r="D29" s="7" t="s">
        <v>218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493</v>
      </c>
      <c r="C30" s="8" t="s">
        <v>217</v>
      </c>
      <c r="D30" s="8" t="s">
        <v>218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215</v>
      </c>
      <c r="C31" s="7" t="s">
        <v>217</v>
      </c>
      <c r="D31" s="7" t="s">
        <v>218</v>
      </c>
      <c r="E31" s="7">
        <v>2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459</v>
      </c>
      <c r="C32" s="8" t="s">
        <v>31</v>
      </c>
      <c r="D32" s="8" t="s">
        <v>32</v>
      </c>
      <c r="E32" s="8">
        <v>4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184</v>
      </c>
      <c r="C33" s="7" t="s">
        <v>31</v>
      </c>
      <c r="D33" s="7" t="s">
        <v>32</v>
      </c>
      <c r="E33" s="7">
        <v>2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201</v>
      </c>
      <c r="C34" s="8" t="s">
        <v>31</v>
      </c>
      <c r="D34" s="8" t="s">
        <v>32</v>
      </c>
      <c r="E34" s="8">
        <v>4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709</v>
      </c>
      <c r="C35" s="7" t="s">
        <v>710</v>
      </c>
      <c r="D35" s="7" t="s">
        <v>711</v>
      </c>
      <c r="E35" s="7">
        <v>1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487</v>
      </c>
      <c r="C36" s="8" t="s">
        <v>328</v>
      </c>
      <c r="D36" s="8" t="s">
        <v>456</v>
      </c>
      <c r="E36" s="8">
        <v>2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483</v>
      </c>
      <c r="C37" s="7" t="s">
        <v>328</v>
      </c>
      <c r="D37" s="7" t="s">
        <v>456</v>
      </c>
      <c r="E37" s="7">
        <v>1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194</v>
      </c>
      <c r="C38" s="8" t="s">
        <v>31</v>
      </c>
      <c r="D38" s="8" t="s">
        <v>32</v>
      </c>
      <c r="E38" s="8">
        <v>4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186</v>
      </c>
      <c r="C39" s="7" t="s">
        <v>31</v>
      </c>
      <c r="D39" s="7" t="s">
        <v>32</v>
      </c>
      <c r="E39" s="7">
        <v>2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164</v>
      </c>
      <c r="C40" s="8" t="s">
        <v>31</v>
      </c>
      <c r="D40" s="8" t="s">
        <v>32</v>
      </c>
      <c r="E40" s="8">
        <v>2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157</v>
      </c>
      <c r="C41" s="7" t="s">
        <v>31</v>
      </c>
      <c r="D41" s="7" t="s">
        <v>32</v>
      </c>
      <c r="E41" s="7">
        <v>4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323</v>
      </c>
      <c r="C42" s="8" t="s">
        <v>21</v>
      </c>
      <c r="D42" s="8" t="s">
        <v>23</v>
      </c>
      <c r="E42" s="8">
        <v>2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704</v>
      </c>
      <c r="C43" s="7" t="s">
        <v>21</v>
      </c>
      <c r="D43" s="7" t="s">
        <v>23</v>
      </c>
      <c r="E43" s="7">
        <v>2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443</v>
      </c>
      <c r="C44" s="8" t="s">
        <v>21</v>
      </c>
      <c r="D44" s="8" t="s">
        <v>23</v>
      </c>
      <c r="E44" s="8">
        <v>4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700</v>
      </c>
      <c r="C45" s="7" t="s">
        <v>21</v>
      </c>
      <c r="D45" s="7" t="s">
        <v>23</v>
      </c>
      <c r="E45" s="7">
        <v>2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75</v>
      </c>
      <c r="C46" s="8" t="s">
        <v>21</v>
      </c>
      <c r="D46" s="8" t="s">
        <v>23</v>
      </c>
      <c r="E46" s="8">
        <v>2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33</v>
      </c>
      <c r="C47" s="7" t="s">
        <v>21</v>
      </c>
      <c r="D47" s="7" t="s">
        <v>23</v>
      </c>
      <c r="E47" s="7">
        <v>4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696</v>
      </c>
      <c r="C48" s="8" t="s">
        <v>21</v>
      </c>
      <c r="D48" s="8" t="s">
        <v>23</v>
      </c>
      <c r="E48" s="8">
        <v>8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435</v>
      </c>
      <c r="C49" s="7" t="s">
        <v>17</v>
      </c>
      <c r="D49" s="7" t="s">
        <v>18</v>
      </c>
      <c r="E49" s="7">
        <v>3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/>
    <row r="51" spans="1:10" ht="15.75" customHeight="1" x14ac:dyDescent="0.3"/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9" xr:uid="{00000000-0009-0000-0000-00001A000000}">
    <sortState xmlns:xlrd2="http://schemas.microsoft.com/office/spreadsheetml/2017/richdata2" ref="A5:H49">
      <sortCondition ref="A4:A49"/>
    </sortState>
  </autoFilter>
  <mergeCells count="2">
    <mergeCell ref="A1:H1"/>
    <mergeCell ref="A2:H2"/>
  </mergeCells>
  <conditionalFormatting sqref="G5:G49">
    <cfRule type="expression" dxfId="140" priority="1">
      <formula>G5="OUT OF STOCK"</formula>
    </cfRule>
    <cfRule type="expression" dxfId="139" priority="2">
      <formula>G5="REORDER"</formula>
    </cfRule>
    <cfRule type="expression" dxfId="138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6" sqref="D6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3.65" customHeight="1" x14ac:dyDescent="0.3">
      <c r="A1" s="24" t="s">
        <v>115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116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402</v>
      </c>
      <c r="C5" s="7" t="s">
        <v>81</v>
      </c>
      <c r="D5" s="7" t="s">
        <v>82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355</v>
      </c>
      <c r="C6" s="8" t="s">
        <v>303</v>
      </c>
      <c r="D6" s="8" t="s">
        <v>304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405</v>
      </c>
      <c r="C7" s="7" t="s">
        <v>399</v>
      </c>
      <c r="D7" s="7" t="s">
        <v>400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421</v>
      </c>
      <c r="C8" s="8" t="s">
        <v>153</v>
      </c>
      <c r="D8" s="8" t="s">
        <v>154</v>
      </c>
      <c r="E8" s="8">
        <v>2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783</v>
      </c>
      <c r="C9" s="7" t="s">
        <v>153</v>
      </c>
      <c r="D9" s="7" t="s">
        <v>154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780</v>
      </c>
      <c r="C10" s="8" t="s">
        <v>138</v>
      </c>
      <c r="D10" s="8" t="s">
        <v>139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779</v>
      </c>
      <c r="C11" s="7" t="s">
        <v>81</v>
      </c>
      <c r="D11" s="7" t="s">
        <v>82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778</v>
      </c>
      <c r="C12" s="8" t="s">
        <v>433</v>
      </c>
      <c r="D12" s="8" t="s">
        <v>434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776</v>
      </c>
      <c r="C13" s="7" t="s">
        <v>102</v>
      </c>
      <c r="D13" s="7" t="s">
        <v>24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773</v>
      </c>
      <c r="C14" s="8" t="s">
        <v>774</v>
      </c>
      <c r="D14" s="8" t="s">
        <v>775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769</v>
      </c>
      <c r="C15" s="7" t="s">
        <v>349</v>
      </c>
      <c r="D15" s="7" t="s">
        <v>350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768</v>
      </c>
      <c r="C16" s="8" t="s">
        <v>349</v>
      </c>
      <c r="D16" s="8" t="s">
        <v>350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767</v>
      </c>
      <c r="C17" s="7" t="s">
        <v>555</v>
      </c>
      <c r="D17" s="7" t="s">
        <v>556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764</v>
      </c>
      <c r="C18" s="8" t="s">
        <v>765</v>
      </c>
      <c r="D18" s="8" t="s">
        <v>766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763</v>
      </c>
      <c r="C19" s="7" t="s">
        <v>81</v>
      </c>
      <c r="D19" s="7" t="s">
        <v>82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762</v>
      </c>
      <c r="C20" s="8" t="s">
        <v>21</v>
      </c>
      <c r="D20" s="8" t="s">
        <v>23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761</v>
      </c>
      <c r="C21" s="7" t="s">
        <v>759</v>
      </c>
      <c r="D21" s="7" t="s">
        <v>760</v>
      </c>
      <c r="E21" s="7">
        <v>1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758</v>
      </c>
      <c r="C22" s="8" t="s">
        <v>759</v>
      </c>
      <c r="D22" s="8" t="s">
        <v>760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756</v>
      </c>
      <c r="C23" s="7" t="s">
        <v>757</v>
      </c>
      <c r="D23" s="7" t="s">
        <v>400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755</v>
      </c>
      <c r="C24" s="8" t="s">
        <v>399</v>
      </c>
      <c r="D24" s="8" t="s">
        <v>400</v>
      </c>
      <c r="E24" s="8">
        <v>4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754</v>
      </c>
      <c r="C25" s="7" t="s">
        <v>303</v>
      </c>
      <c r="D25" s="7" t="s">
        <v>304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743</v>
      </c>
      <c r="C26" s="8" t="s">
        <v>21</v>
      </c>
      <c r="D26" s="8" t="s">
        <v>23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751</v>
      </c>
      <c r="C27" s="7" t="s">
        <v>752</v>
      </c>
      <c r="D27" s="7" t="s">
        <v>753</v>
      </c>
      <c r="E27" s="7">
        <v>1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750</v>
      </c>
      <c r="C28" s="8" t="s">
        <v>81</v>
      </c>
      <c r="D28" s="8" t="s">
        <v>82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749</v>
      </c>
      <c r="C29" s="7" t="s">
        <v>377</v>
      </c>
      <c r="D29" s="7" t="s">
        <v>378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746</v>
      </c>
      <c r="C30" s="8" t="s">
        <v>747</v>
      </c>
      <c r="D30" s="8" t="s">
        <v>748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745</v>
      </c>
      <c r="C31" s="7" t="s">
        <v>480</v>
      </c>
      <c r="D31" s="7" t="s">
        <v>482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548</v>
      </c>
      <c r="C32" s="8" t="s">
        <v>43</v>
      </c>
      <c r="D32" s="8" t="s">
        <v>44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478</v>
      </c>
      <c r="C33" s="7" t="s">
        <v>43</v>
      </c>
      <c r="D33" s="7" t="s">
        <v>44</v>
      </c>
      <c r="E33" s="7">
        <v>1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190</v>
      </c>
      <c r="C34" s="8" t="s">
        <v>43</v>
      </c>
      <c r="D34" s="8" t="s">
        <v>44</v>
      </c>
      <c r="E34" s="8">
        <v>3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744</v>
      </c>
      <c r="C35" s="7" t="s">
        <v>43</v>
      </c>
      <c r="D35" s="7" t="s">
        <v>44</v>
      </c>
      <c r="E35" s="7">
        <v>4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465</v>
      </c>
      <c r="C36" s="8" t="s">
        <v>217</v>
      </c>
      <c r="D36" s="8" t="s">
        <v>218</v>
      </c>
      <c r="E36" s="8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459</v>
      </c>
      <c r="C37" s="7" t="s">
        <v>31</v>
      </c>
      <c r="D37" s="7" t="s">
        <v>32</v>
      </c>
      <c r="E37" s="7">
        <v>11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458</v>
      </c>
      <c r="C38" s="8" t="s">
        <v>31</v>
      </c>
      <c r="D38" s="8" t="s">
        <v>32</v>
      </c>
      <c r="E38" s="8">
        <v>2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184</v>
      </c>
      <c r="C39" s="7" t="s">
        <v>31</v>
      </c>
      <c r="D39" s="7" t="s">
        <v>32</v>
      </c>
      <c r="E39" s="7">
        <v>7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201</v>
      </c>
      <c r="C40" s="8" t="s">
        <v>31</v>
      </c>
      <c r="D40" s="8" t="s">
        <v>32</v>
      </c>
      <c r="E40" s="8">
        <v>2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741</v>
      </c>
      <c r="C41" s="7" t="s">
        <v>290</v>
      </c>
      <c r="D41" s="7" t="s">
        <v>291</v>
      </c>
      <c r="E41" s="7">
        <v>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194</v>
      </c>
      <c r="C42" s="8" t="s">
        <v>31</v>
      </c>
      <c r="D42" s="8" t="s">
        <v>32</v>
      </c>
      <c r="E42" s="8">
        <v>3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453</v>
      </c>
      <c r="C43" s="7" t="s">
        <v>31</v>
      </c>
      <c r="D43" s="7" t="s">
        <v>32</v>
      </c>
      <c r="E43" s="7">
        <v>16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451</v>
      </c>
      <c r="C44" s="8" t="s">
        <v>31</v>
      </c>
      <c r="D44" s="8" t="s">
        <v>32</v>
      </c>
      <c r="E44" s="8">
        <v>1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450</v>
      </c>
      <c r="C45" s="7" t="s">
        <v>31</v>
      </c>
      <c r="D45" s="7" t="s">
        <v>32</v>
      </c>
      <c r="E45" s="7">
        <v>16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173</v>
      </c>
      <c r="C46" s="8" t="s">
        <v>31</v>
      </c>
      <c r="D46" s="8" t="s">
        <v>32</v>
      </c>
      <c r="E46" s="8">
        <v>2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164</v>
      </c>
      <c r="C47" s="7" t="s">
        <v>31</v>
      </c>
      <c r="D47" s="7" t="s">
        <v>32</v>
      </c>
      <c r="E47" s="7">
        <v>7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734</v>
      </c>
      <c r="C48" s="8" t="s">
        <v>31</v>
      </c>
      <c r="D48" s="8" t="s">
        <v>32</v>
      </c>
      <c r="E48" s="8">
        <v>4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733</v>
      </c>
      <c r="C49" s="7" t="s">
        <v>332</v>
      </c>
      <c r="D49" s="7" t="s">
        <v>333</v>
      </c>
      <c r="E49" s="7">
        <v>2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729</v>
      </c>
      <c r="C50" s="8" t="s">
        <v>328</v>
      </c>
      <c r="D50" s="8" t="s">
        <v>329</v>
      </c>
      <c r="E50" s="8">
        <v>16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728</v>
      </c>
      <c r="C51" s="7" t="s">
        <v>153</v>
      </c>
      <c r="D51" s="7" t="s">
        <v>154</v>
      </c>
      <c r="E51" s="7">
        <v>1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724</v>
      </c>
      <c r="C52" s="8" t="s">
        <v>328</v>
      </c>
      <c r="D52" s="8" t="s">
        <v>329</v>
      </c>
      <c r="E52" s="8">
        <v>2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723</v>
      </c>
      <c r="C53" s="7" t="s">
        <v>290</v>
      </c>
      <c r="D53" s="7" t="s">
        <v>291</v>
      </c>
      <c r="E53" s="7">
        <v>3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20</v>
      </c>
      <c r="C54" s="8" t="s">
        <v>21</v>
      </c>
      <c r="D54" s="8" t="s">
        <v>23</v>
      </c>
      <c r="E54" s="8">
        <v>4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722</v>
      </c>
      <c r="C55" s="7" t="s">
        <v>21</v>
      </c>
      <c r="D55" s="7" t="s">
        <v>23</v>
      </c>
      <c r="E55" s="7">
        <v>3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721</v>
      </c>
      <c r="C56" s="8" t="s">
        <v>21</v>
      </c>
      <c r="D56" s="8" t="s">
        <v>23</v>
      </c>
      <c r="E56" s="8">
        <v>4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720</v>
      </c>
      <c r="C57" s="7" t="s">
        <v>21</v>
      </c>
      <c r="D57" s="7" t="s">
        <v>23</v>
      </c>
      <c r="E57" s="7">
        <v>2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471</v>
      </c>
      <c r="C58" s="8" t="s">
        <v>21</v>
      </c>
      <c r="D58" s="8" t="s">
        <v>23</v>
      </c>
      <c r="E58" s="8">
        <v>1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718</v>
      </c>
      <c r="C59" s="7" t="s">
        <v>21</v>
      </c>
      <c r="D59" s="7" t="s">
        <v>23</v>
      </c>
      <c r="E59" s="7">
        <v>1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8">
        <v>56</v>
      </c>
      <c r="B60" s="8" t="s">
        <v>717</v>
      </c>
      <c r="C60" s="8" t="s">
        <v>21</v>
      </c>
      <c r="D60" s="8" t="s">
        <v>23</v>
      </c>
      <c r="E60" s="8">
        <v>4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7">
        <v>57</v>
      </c>
      <c r="B61" s="7" t="s">
        <v>716</v>
      </c>
      <c r="C61" s="7" t="s">
        <v>21</v>
      </c>
      <c r="D61" s="7" t="s">
        <v>23</v>
      </c>
      <c r="E61" s="7">
        <v>2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8">
        <v>58</v>
      </c>
      <c r="B62" s="8" t="s">
        <v>714</v>
      </c>
      <c r="C62" s="8" t="s">
        <v>21</v>
      </c>
      <c r="D62" s="8" t="s">
        <v>23</v>
      </c>
      <c r="E62" s="8">
        <v>4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7">
        <v>59</v>
      </c>
      <c r="B63" s="7" t="s">
        <v>712</v>
      </c>
      <c r="C63" s="7" t="s">
        <v>21</v>
      </c>
      <c r="D63" s="7" t="s">
        <v>23</v>
      </c>
      <c r="E63" s="7">
        <v>4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8">
        <v>60</v>
      </c>
      <c r="B64" s="8" t="s">
        <v>501</v>
      </c>
      <c r="C64" s="8" t="s">
        <v>21</v>
      </c>
      <c r="D64" s="8" t="s">
        <v>23</v>
      </c>
      <c r="E64" s="8">
        <v>4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7">
        <v>61</v>
      </c>
      <c r="B65" s="7" t="s">
        <v>460</v>
      </c>
      <c r="C65" s="7" t="s">
        <v>21</v>
      </c>
      <c r="D65" s="7" t="s">
        <v>23</v>
      </c>
      <c r="E65" s="7">
        <v>2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8">
        <v>62</v>
      </c>
      <c r="B66" s="8" t="s">
        <v>707</v>
      </c>
      <c r="C66" s="8" t="s">
        <v>17</v>
      </c>
      <c r="D66" s="8" t="s">
        <v>18</v>
      </c>
      <c r="E66" s="8">
        <v>16</v>
      </c>
      <c r="F66" s="8" t="str">
        <f t="array" ref="F66">IFERROR(_xlfn.XLOOKUP(B66,#REF!,#REF!,""),"")</f>
        <v/>
      </c>
      <c r="G66" s="8" t="str">
        <f t="array" ref="G66">IFERROR(_xlfn.XLOOKUP(B66,#REF!,#REF!,""),"")</f>
        <v/>
      </c>
      <c r="H66" s="8" t="str">
        <f t="array" ref="H66">IFERROR(_xlfn.XLOOKUP(B66,#REF!,#REF!,""),"")</f>
        <v/>
      </c>
      <c r="I66" s="3"/>
      <c r="J66" s="3"/>
    </row>
    <row r="67" spans="1:10" ht="15.75" customHeight="1" x14ac:dyDescent="0.3">
      <c r="A67" s="7">
        <v>63</v>
      </c>
      <c r="B67" s="7" t="s">
        <v>706</v>
      </c>
      <c r="C67" s="7" t="s">
        <v>17</v>
      </c>
      <c r="D67" s="7" t="s">
        <v>18</v>
      </c>
      <c r="E67" s="7">
        <v>2</v>
      </c>
      <c r="F67" s="7" t="str">
        <f t="array" ref="F67">IFERROR(_xlfn.XLOOKUP(B67,#REF!,#REF!,""),"")</f>
        <v/>
      </c>
      <c r="G67" s="7" t="str">
        <f t="array" ref="G67">IFERROR(_xlfn.XLOOKUP(B67,#REF!,#REF!,""),"")</f>
        <v/>
      </c>
      <c r="H67" s="7" t="str">
        <f t="array" ref="H67">IFERROR(_xlfn.XLOOKUP(B67,#REF!,#REF!,""),"")</f>
        <v/>
      </c>
      <c r="I67" s="3"/>
      <c r="J67" s="3"/>
    </row>
    <row r="68" spans="1:10" ht="15.75" customHeight="1" x14ac:dyDescent="0.3"/>
    <row r="69" spans="1:10" ht="15.75" customHeight="1" x14ac:dyDescent="0.3"/>
    <row r="70" spans="1:10" ht="15.75" customHeight="1" x14ac:dyDescent="0.3"/>
    <row r="71" spans="1:10" ht="15.75" customHeight="1" x14ac:dyDescent="0.3"/>
    <row r="72" spans="1:10" ht="15.75" customHeight="1" x14ac:dyDescent="0.3"/>
    <row r="73" spans="1:10" ht="15.75" customHeight="1" x14ac:dyDescent="0.3"/>
    <row r="74" spans="1:10" ht="15.75" customHeight="1" x14ac:dyDescent="0.3"/>
    <row r="75" spans="1:10" ht="15.75" customHeight="1" x14ac:dyDescent="0.3"/>
    <row r="76" spans="1:10" ht="15.75" customHeight="1" x14ac:dyDescent="0.3"/>
    <row r="77" spans="1:10" ht="15.75" customHeight="1" x14ac:dyDescent="0.3"/>
    <row r="78" spans="1:10" ht="15.75" customHeight="1" x14ac:dyDescent="0.3"/>
    <row r="79" spans="1:10" ht="15.75" customHeight="1" x14ac:dyDescent="0.3"/>
    <row r="80" spans="1:1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7" xr:uid="{00000000-0009-0000-0000-00001B000000}">
    <sortState xmlns:xlrd2="http://schemas.microsoft.com/office/spreadsheetml/2017/richdata2" ref="A5:H67">
      <sortCondition ref="A4:A67"/>
    </sortState>
  </autoFilter>
  <mergeCells count="2">
    <mergeCell ref="A1:H1"/>
    <mergeCell ref="A2:H2"/>
  </mergeCells>
  <conditionalFormatting sqref="G5:G67">
    <cfRule type="expression" dxfId="137" priority="1">
      <formula>G5="OUT OF STOCK"</formula>
    </cfRule>
    <cfRule type="expression" dxfId="136" priority="2">
      <formula>G5="REORDER"</formula>
    </cfRule>
    <cfRule type="expression" dxfId="135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B9" sqref="B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25" customHeight="1" x14ac:dyDescent="0.3">
      <c r="A1" s="24" t="s">
        <v>120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121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8" customHeight="1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395</v>
      </c>
      <c r="C5" s="7" t="s">
        <v>396</v>
      </c>
      <c r="D5" s="7" t="s">
        <v>397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803</v>
      </c>
      <c r="C6" s="8" t="s">
        <v>31</v>
      </c>
      <c r="D6" s="8" t="s">
        <v>32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800</v>
      </c>
      <c r="C7" s="7" t="s">
        <v>801</v>
      </c>
      <c r="D7" s="7" t="s">
        <v>772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794</v>
      </c>
      <c r="C8" s="8" t="s">
        <v>795</v>
      </c>
      <c r="D8" s="8" t="s">
        <v>796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790</v>
      </c>
      <c r="C9" s="7" t="s">
        <v>791</v>
      </c>
      <c r="D9" s="7" t="s">
        <v>791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788</v>
      </c>
      <c r="C10" s="8" t="s">
        <v>31</v>
      </c>
      <c r="D10" s="8" t="s">
        <v>32</v>
      </c>
      <c r="E10" s="8">
        <v>4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787</v>
      </c>
      <c r="C11" s="7" t="s">
        <v>290</v>
      </c>
      <c r="D11" s="7" t="s">
        <v>291</v>
      </c>
      <c r="E11" s="7">
        <v>2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382</v>
      </c>
      <c r="C12" s="8" t="s">
        <v>31</v>
      </c>
      <c r="D12" s="8" t="s">
        <v>32</v>
      </c>
      <c r="E12" s="8">
        <v>4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729</v>
      </c>
      <c r="C13" s="7" t="s">
        <v>328</v>
      </c>
      <c r="D13" s="7" t="s">
        <v>329</v>
      </c>
      <c r="E13" s="7">
        <v>2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132</v>
      </c>
      <c r="C14" s="8" t="s">
        <v>72</v>
      </c>
      <c r="D14" s="8" t="s">
        <v>73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785</v>
      </c>
      <c r="C15" s="7" t="s">
        <v>21</v>
      </c>
      <c r="D15" s="7" t="s">
        <v>23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782</v>
      </c>
      <c r="C16" s="8" t="s">
        <v>21</v>
      </c>
      <c r="D16" s="8" t="s">
        <v>23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334</v>
      </c>
      <c r="C17" s="7" t="s">
        <v>21</v>
      </c>
      <c r="D17" s="7" t="s">
        <v>23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777</v>
      </c>
      <c r="C18" s="8" t="s">
        <v>21</v>
      </c>
      <c r="D18" s="8" t="s">
        <v>23</v>
      </c>
      <c r="E18" s="8">
        <v>4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707</v>
      </c>
      <c r="C19" s="7" t="s">
        <v>17</v>
      </c>
      <c r="D19" s="7" t="s">
        <v>18</v>
      </c>
      <c r="E19" s="7">
        <v>2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/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9" xr:uid="{00000000-0009-0000-0000-00001C000000}">
    <sortState xmlns:xlrd2="http://schemas.microsoft.com/office/spreadsheetml/2017/richdata2" ref="A5:H19">
      <sortCondition ref="A4:A19"/>
    </sortState>
  </autoFilter>
  <mergeCells count="2">
    <mergeCell ref="A1:H1"/>
    <mergeCell ref="A2:H2"/>
  </mergeCells>
  <conditionalFormatting sqref="G5:G19">
    <cfRule type="expression" dxfId="134" priority="1">
      <formula>G5="OUT OF STOCK"</formula>
    </cfRule>
    <cfRule type="expression" dxfId="133" priority="2">
      <formula>G5="REORDER"</formula>
    </cfRule>
    <cfRule type="expression" dxfId="13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7" sqref="F7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9.4" customHeight="1" x14ac:dyDescent="0.3">
      <c r="A1" s="24" t="s">
        <v>124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125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770</v>
      </c>
      <c r="C5" s="7" t="s">
        <v>771</v>
      </c>
      <c r="D5" s="7" t="s">
        <v>772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1D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131" priority="1">
      <formula>G5="OUT OF STOCK"</formula>
    </cfRule>
    <cfRule type="expression" dxfId="130" priority="2">
      <formula>G5="REORDER"</formula>
    </cfRule>
    <cfRule type="expression" dxfId="129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7" sqref="E7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128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129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792</v>
      </c>
      <c r="C5" s="7" t="s">
        <v>771</v>
      </c>
      <c r="D5" s="7" t="s">
        <v>772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1E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128" priority="1">
      <formula>G5="OUT OF STOCK"</formula>
    </cfRule>
    <cfRule type="expression" dxfId="127" priority="2">
      <formula>G5="REORDER"</formula>
    </cfRule>
    <cfRule type="expression" dxfId="12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14" sqref="D14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130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131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637</v>
      </c>
      <c r="C5" s="7" t="s">
        <v>399</v>
      </c>
      <c r="D5" s="7" t="s">
        <v>400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864</v>
      </c>
      <c r="C6" s="8" t="s">
        <v>81</v>
      </c>
      <c r="D6" s="8" t="s">
        <v>82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867</v>
      </c>
      <c r="C7" s="7" t="s">
        <v>212</v>
      </c>
      <c r="D7" s="7" t="s">
        <v>214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874</v>
      </c>
      <c r="C8" s="8" t="s">
        <v>212</v>
      </c>
      <c r="D8" s="8" t="s">
        <v>214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879</v>
      </c>
      <c r="C9" s="7" t="s">
        <v>880</v>
      </c>
      <c r="D9" s="7" t="s">
        <v>881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886</v>
      </c>
      <c r="C10" s="8" t="s">
        <v>22</v>
      </c>
      <c r="D10" s="8" t="s">
        <v>24</v>
      </c>
      <c r="E10" s="8">
        <v>6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889</v>
      </c>
      <c r="C11" s="7" t="s">
        <v>22</v>
      </c>
      <c r="D11" s="7" t="s">
        <v>24</v>
      </c>
      <c r="E11" s="7">
        <v>2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885</v>
      </c>
      <c r="C12" s="8" t="s">
        <v>591</v>
      </c>
      <c r="D12" s="8" t="s">
        <v>523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883</v>
      </c>
      <c r="C13" s="7" t="s">
        <v>272</v>
      </c>
      <c r="D13" s="7" t="s">
        <v>273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877</v>
      </c>
      <c r="C14" s="8" t="s">
        <v>153</v>
      </c>
      <c r="D14" s="8" t="s">
        <v>154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875</v>
      </c>
      <c r="C15" s="7" t="s">
        <v>839</v>
      </c>
      <c r="D15" s="7" t="s">
        <v>840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873</v>
      </c>
      <c r="C16" s="8" t="s">
        <v>102</v>
      </c>
      <c r="D16" s="8" t="s">
        <v>24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871</v>
      </c>
      <c r="C17" s="7" t="s">
        <v>349</v>
      </c>
      <c r="D17" s="7" t="s">
        <v>350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869</v>
      </c>
      <c r="C18" s="8" t="s">
        <v>647</v>
      </c>
      <c r="D18" s="8" t="s">
        <v>648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866</v>
      </c>
      <c r="C19" s="7" t="s">
        <v>81</v>
      </c>
      <c r="D19" s="7" t="s">
        <v>82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865</v>
      </c>
      <c r="C20" s="8" t="s">
        <v>384</v>
      </c>
      <c r="D20" s="8" t="s">
        <v>385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863</v>
      </c>
      <c r="C21" s="7" t="s">
        <v>272</v>
      </c>
      <c r="D21" s="7" t="s">
        <v>273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862</v>
      </c>
      <c r="C22" s="8" t="s">
        <v>297</v>
      </c>
      <c r="D22" s="8" t="s">
        <v>82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859</v>
      </c>
      <c r="C23" s="7" t="s">
        <v>860</v>
      </c>
      <c r="D23" s="7" t="s">
        <v>861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858</v>
      </c>
      <c r="C24" s="8" t="s">
        <v>559</v>
      </c>
      <c r="D24" s="8" t="s">
        <v>560</v>
      </c>
      <c r="E24" s="8">
        <v>1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857</v>
      </c>
      <c r="C25" s="7" t="s">
        <v>349</v>
      </c>
      <c r="D25" s="7" t="s">
        <v>350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854</v>
      </c>
      <c r="C26" s="8" t="s">
        <v>855</v>
      </c>
      <c r="D26" s="8" t="s">
        <v>856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853</v>
      </c>
      <c r="C27" s="7" t="s">
        <v>81</v>
      </c>
      <c r="D27" s="7" t="s">
        <v>82</v>
      </c>
      <c r="E27" s="7">
        <v>1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852</v>
      </c>
      <c r="C28" s="8" t="s">
        <v>349</v>
      </c>
      <c r="D28" s="8" t="s">
        <v>350</v>
      </c>
      <c r="E28" s="8">
        <v>3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851</v>
      </c>
      <c r="C29" s="7" t="s">
        <v>303</v>
      </c>
      <c r="D29" s="7" t="s">
        <v>303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847</v>
      </c>
      <c r="C30" s="8" t="s">
        <v>303</v>
      </c>
      <c r="D30" s="8" t="s">
        <v>303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844</v>
      </c>
      <c r="C31" s="7" t="s">
        <v>845</v>
      </c>
      <c r="D31" s="7" t="s">
        <v>685</v>
      </c>
      <c r="E31" s="7">
        <v>2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838</v>
      </c>
      <c r="C32" s="8" t="s">
        <v>839</v>
      </c>
      <c r="D32" s="8" t="s">
        <v>840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837</v>
      </c>
      <c r="C33" s="7" t="s">
        <v>519</v>
      </c>
      <c r="D33" s="7" t="s">
        <v>520</v>
      </c>
      <c r="E33" s="7">
        <v>6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834</v>
      </c>
      <c r="C34" s="8" t="s">
        <v>835</v>
      </c>
      <c r="D34" s="8" t="s">
        <v>836</v>
      </c>
      <c r="E34" s="8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268</v>
      </c>
      <c r="C35" s="7" t="s">
        <v>269</v>
      </c>
      <c r="D35" s="7" t="s">
        <v>270</v>
      </c>
      <c r="E35" s="7">
        <v>1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830</v>
      </c>
      <c r="C36" s="8" t="s">
        <v>831</v>
      </c>
      <c r="D36" s="8" t="s">
        <v>832</v>
      </c>
      <c r="E36" s="8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190</v>
      </c>
      <c r="C37" s="7" t="s">
        <v>43</v>
      </c>
      <c r="D37" s="7" t="s">
        <v>44</v>
      </c>
      <c r="E37" s="7">
        <v>2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827</v>
      </c>
      <c r="C38" s="8" t="s">
        <v>828</v>
      </c>
      <c r="D38" s="8" t="s">
        <v>829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826</v>
      </c>
      <c r="C39" s="7" t="s">
        <v>469</v>
      </c>
      <c r="D39" s="7" t="s">
        <v>470</v>
      </c>
      <c r="E39" s="7">
        <v>1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822</v>
      </c>
      <c r="C40" s="8" t="s">
        <v>823</v>
      </c>
      <c r="D40" s="8" t="s">
        <v>824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821</v>
      </c>
      <c r="C41" s="7" t="s">
        <v>469</v>
      </c>
      <c r="D41" s="7" t="s">
        <v>470</v>
      </c>
      <c r="E41" s="7">
        <v>1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820</v>
      </c>
      <c r="C42" s="8" t="s">
        <v>474</v>
      </c>
      <c r="D42" s="8" t="s">
        <v>475</v>
      </c>
      <c r="E42" s="8">
        <v>2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819</v>
      </c>
      <c r="C43" s="7" t="s">
        <v>217</v>
      </c>
      <c r="D43" s="7" t="s">
        <v>218</v>
      </c>
      <c r="E43" s="7">
        <v>4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184</v>
      </c>
      <c r="C44" s="8" t="s">
        <v>31</v>
      </c>
      <c r="D44" s="8" t="s">
        <v>32</v>
      </c>
      <c r="E44" s="8">
        <v>17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201</v>
      </c>
      <c r="C45" s="7" t="s">
        <v>31</v>
      </c>
      <c r="D45" s="7" t="s">
        <v>32</v>
      </c>
      <c r="E45" s="7">
        <v>7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29</v>
      </c>
      <c r="C46" s="8" t="s">
        <v>31</v>
      </c>
      <c r="D46" s="8" t="s">
        <v>32</v>
      </c>
      <c r="E46" s="8">
        <v>18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164</v>
      </c>
      <c r="C47" s="7" t="s">
        <v>31</v>
      </c>
      <c r="D47" s="7" t="s">
        <v>32</v>
      </c>
      <c r="E47" s="7">
        <v>14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157</v>
      </c>
      <c r="C48" s="8" t="s">
        <v>31</v>
      </c>
      <c r="D48" s="8" t="s">
        <v>32</v>
      </c>
      <c r="E48" s="8">
        <v>5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734</v>
      </c>
      <c r="C49" s="7" t="s">
        <v>31</v>
      </c>
      <c r="D49" s="7" t="s">
        <v>32</v>
      </c>
      <c r="E49" s="7">
        <v>8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817</v>
      </c>
      <c r="C50" s="8" t="s">
        <v>31</v>
      </c>
      <c r="D50" s="8" t="s">
        <v>32</v>
      </c>
      <c r="E50" s="8">
        <v>5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816</v>
      </c>
      <c r="C51" s="7" t="s">
        <v>21</v>
      </c>
      <c r="D51" s="7" t="s">
        <v>23</v>
      </c>
      <c r="E51" s="7">
        <v>2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815</v>
      </c>
      <c r="C52" s="8" t="s">
        <v>21</v>
      </c>
      <c r="D52" s="8" t="s">
        <v>23</v>
      </c>
      <c r="E52" s="8">
        <v>2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814</v>
      </c>
      <c r="C53" s="7" t="s">
        <v>21</v>
      </c>
      <c r="D53" s="7" t="s">
        <v>23</v>
      </c>
      <c r="E53" s="7">
        <v>4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95</v>
      </c>
      <c r="C54" s="8" t="s">
        <v>21</v>
      </c>
      <c r="D54" s="8" t="s">
        <v>23</v>
      </c>
      <c r="E54" s="8">
        <v>4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85</v>
      </c>
      <c r="C55" s="7" t="s">
        <v>21</v>
      </c>
      <c r="D55" s="7" t="s">
        <v>23</v>
      </c>
      <c r="E55" s="7">
        <v>4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75</v>
      </c>
      <c r="C56" s="8" t="s">
        <v>21</v>
      </c>
      <c r="D56" s="8" t="s">
        <v>23</v>
      </c>
      <c r="E56" s="8">
        <v>8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68</v>
      </c>
      <c r="C57" s="7" t="s">
        <v>21</v>
      </c>
      <c r="D57" s="7" t="s">
        <v>23</v>
      </c>
      <c r="E57" s="7">
        <v>6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812</v>
      </c>
      <c r="C58" s="8" t="s">
        <v>21</v>
      </c>
      <c r="D58" s="8" t="s">
        <v>23</v>
      </c>
      <c r="E58" s="8">
        <v>2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61</v>
      </c>
      <c r="C59" s="7" t="s">
        <v>21</v>
      </c>
      <c r="D59" s="7" t="s">
        <v>23</v>
      </c>
      <c r="E59" s="7">
        <v>7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8">
        <v>56</v>
      </c>
      <c r="B60" s="8" t="s">
        <v>811</v>
      </c>
      <c r="C60" s="8" t="s">
        <v>21</v>
      </c>
      <c r="D60" s="8" t="s">
        <v>23</v>
      </c>
      <c r="E60" s="8">
        <v>1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7">
        <v>57</v>
      </c>
      <c r="B61" s="7" t="s">
        <v>40</v>
      </c>
      <c r="C61" s="7" t="s">
        <v>21</v>
      </c>
      <c r="D61" s="7" t="s">
        <v>23</v>
      </c>
      <c r="E61" s="7">
        <v>6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8">
        <v>58</v>
      </c>
      <c r="B62" s="8" t="s">
        <v>581</v>
      </c>
      <c r="C62" s="8" t="s">
        <v>21</v>
      </c>
      <c r="D62" s="8" t="s">
        <v>23</v>
      </c>
      <c r="E62" s="8">
        <v>4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7">
        <v>59</v>
      </c>
      <c r="B63" s="7" t="s">
        <v>490</v>
      </c>
      <c r="C63" s="7" t="s">
        <v>21</v>
      </c>
      <c r="D63" s="7" t="s">
        <v>23</v>
      </c>
      <c r="E63" s="7">
        <v>2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8">
        <v>60</v>
      </c>
      <c r="B64" s="8" t="s">
        <v>696</v>
      </c>
      <c r="C64" s="8" t="s">
        <v>21</v>
      </c>
      <c r="D64" s="8" t="s">
        <v>23</v>
      </c>
      <c r="E64" s="8">
        <v>6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7">
        <v>61</v>
      </c>
      <c r="B65" s="7" t="s">
        <v>808</v>
      </c>
      <c r="C65" s="7" t="s">
        <v>21</v>
      </c>
      <c r="D65" s="7" t="s">
        <v>23</v>
      </c>
      <c r="E65" s="7">
        <v>12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8">
        <v>62</v>
      </c>
      <c r="B66" s="8" t="s">
        <v>806</v>
      </c>
      <c r="C66" s="8" t="s">
        <v>21</v>
      </c>
      <c r="D66" s="8" t="s">
        <v>23</v>
      </c>
      <c r="E66" s="8">
        <v>4</v>
      </c>
      <c r="F66" s="8" t="str">
        <f t="array" ref="F66">IFERROR(_xlfn.XLOOKUP(B66,#REF!,#REF!,""),"")</f>
        <v/>
      </c>
      <c r="G66" s="8" t="str">
        <f t="array" ref="G66">IFERROR(_xlfn.XLOOKUP(B66,#REF!,#REF!,""),"")</f>
        <v/>
      </c>
      <c r="H66" s="8" t="str">
        <f t="array" ref="H66">IFERROR(_xlfn.XLOOKUP(B66,#REF!,#REF!,""),"")</f>
        <v/>
      </c>
      <c r="I66" s="3"/>
      <c r="J66" s="3"/>
    </row>
    <row r="67" spans="1:10" ht="15.75" customHeight="1" x14ac:dyDescent="0.3">
      <c r="A67" s="7">
        <v>63</v>
      </c>
      <c r="B67" s="7" t="s">
        <v>805</v>
      </c>
      <c r="C67" s="7" t="s">
        <v>21</v>
      </c>
      <c r="D67" s="7" t="s">
        <v>23</v>
      </c>
      <c r="E67" s="7">
        <v>2</v>
      </c>
      <c r="F67" s="7" t="str">
        <f t="array" ref="F67">IFERROR(_xlfn.XLOOKUP(B67,#REF!,#REF!,""),"")</f>
        <v/>
      </c>
      <c r="G67" s="7" t="str">
        <f t="array" ref="G67">IFERROR(_xlfn.XLOOKUP(B67,#REF!,#REF!,""),"")</f>
        <v/>
      </c>
      <c r="H67" s="7" t="str">
        <f t="array" ref="H67">IFERROR(_xlfn.XLOOKUP(B67,#REF!,#REF!,""),"")</f>
        <v/>
      </c>
      <c r="I67" s="3"/>
      <c r="J67" s="3"/>
    </row>
    <row r="68" spans="1:10" ht="15.75" customHeight="1" x14ac:dyDescent="0.3"/>
    <row r="69" spans="1:10" ht="15.75" customHeight="1" x14ac:dyDescent="0.3"/>
    <row r="70" spans="1:10" ht="15.75" customHeight="1" x14ac:dyDescent="0.3"/>
    <row r="71" spans="1:10" ht="15.75" customHeight="1" x14ac:dyDescent="0.3"/>
    <row r="72" spans="1:10" ht="15.75" customHeight="1" x14ac:dyDescent="0.3"/>
    <row r="73" spans="1:10" ht="15.75" customHeight="1" x14ac:dyDescent="0.3"/>
    <row r="74" spans="1:10" ht="15.75" customHeight="1" x14ac:dyDescent="0.3"/>
    <row r="75" spans="1:10" ht="15.75" customHeight="1" x14ac:dyDescent="0.3"/>
    <row r="76" spans="1:10" ht="15.75" customHeight="1" x14ac:dyDescent="0.3"/>
    <row r="77" spans="1:10" ht="15.75" customHeight="1" x14ac:dyDescent="0.3"/>
    <row r="78" spans="1:10" ht="15.75" customHeight="1" x14ac:dyDescent="0.3"/>
    <row r="79" spans="1:10" ht="15.75" customHeight="1" x14ac:dyDescent="0.3"/>
    <row r="80" spans="1:1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7" xr:uid="{00000000-0009-0000-0000-00001F000000}">
    <sortState xmlns:xlrd2="http://schemas.microsoft.com/office/spreadsheetml/2017/richdata2" ref="A5:H67">
      <sortCondition ref="A4:A67"/>
    </sortState>
  </autoFilter>
  <mergeCells count="2">
    <mergeCell ref="A1:H1"/>
    <mergeCell ref="A2:H2"/>
  </mergeCells>
  <conditionalFormatting sqref="G5:G67">
    <cfRule type="expression" dxfId="125" priority="1">
      <formula>G5="OUT OF STOCK"</formula>
    </cfRule>
    <cfRule type="expression" dxfId="124" priority="2">
      <formula>G5="REORDER"</formula>
    </cfRule>
    <cfRule type="expression" dxfId="123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15" sqref="E1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25" customHeight="1" x14ac:dyDescent="0.3">
      <c r="A1" s="24" t="s">
        <v>133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134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813</v>
      </c>
      <c r="C5" s="7" t="s">
        <v>22</v>
      </c>
      <c r="D5" s="7" t="s">
        <v>24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20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122" priority="1">
      <formula>G5="OUT OF STOCK"</formula>
    </cfRule>
    <cfRule type="expression" dxfId="121" priority="2">
      <formula>G5="REORDER"</formula>
    </cfRule>
    <cfRule type="expression" dxfId="12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12" sqref="E1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0.399999999999999" customHeight="1" x14ac:dyDescent="0.3">
      <c r="A1" s="24" t="s">
        <v>136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137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818</v>
      </c>
      <c r="C5" s="7" t="s">
        <v>569</v>
      </c>
      <c r="D5" s="7" t="s">
        <v>570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21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119" priority="1">
      <formula>G5="OUT OF STOCK"</formula>
    </cfRule>
    <cfRule type="expression" dxfId="118" priority="2">
      <formula>G5="REORDER"</formula>
    </cfRule>
    <cfRule type="expression" dxfId="11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2" sqref="A2:H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143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144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421</v>
      </c>
      <c r="C5" s="8" t="s">
        <v>153</v>
      </c>
      <c r="D5" s="8" t="s">
        <v>154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904</v>
      </c>
      <c r="C6" s="7" t="s">
        <v>905</v>
      </c>
      <c r="D6" s="7" t="s">
        <v>214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903</v>
      </c>
      <c r="C7" s="8" t="s">
        <v>138</v>
      </c>
      <c r="D7" s="8" t="s">
        <v>139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902</v>
      </c>
      <c r="C8" s="7" t="s">
        <v>399</v>
      </c>
      <c r="D8" s="7" t="s">
        <v>400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901</v>
      </c>
      <c r="C9" s="8" t="s">
        <v>212</v>
      </c>
      <c r="D9" s="8" t="s">
        <v>214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900</v>
      </c>
      <c r="C10" s="7" t="s">
        <v>399</v>
      </c>
      <c r="D10" s="7" t="s">
        <v>400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899</v>
      </c>
      <c r="C11" s="8" t="s">
        <v>138</v>
      </c>
      <c r="D11" s="8" t="s">
        <v>139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898</v>
      </c>
      <c r="C12" s="7" t="s">
        <v>81</v>
      </c>
      <c r="D12" s="7" t="s">
        <v>82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897</v>
      </c>
      <c r="C13" s="8" t="s">
        <v>349</v>
      </c>
      <c r="D13" s="8" t="s">
        <v>350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895</v>
      </c>
      <c r="C14" s="7" t="s">
        <v>272</v>
      </c>
      <c r="D14" s="7" t="s">
        <v>273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891</v>
      </c>
      <c r="C15" s="8" t="s">
        <v>647</v>
      </c>
      <c r="D15" s="8" t="s">
        <v>648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890</v>
      </c>
      <c r="C16" s="7" t="s">
        <v>647</v>
      </c>
      <c r="D16" s="7" t="s">
        <v>648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888</v>
      </c>
      <c r="C17" s="8" t="s">
        <v>81</v>
      </c>
      <c r="D17" s="8" t="s">
        <v>82</v>
      </c>
      <c r="E17" s="8">
        <v>1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887</v>
      </c>
      <c r="C18" s="7" t="s">
        <v>297</v>
      </c>
      <c r="D18" s="7" t="s">
        <v>82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884</v>
      </c>
      <c r="C19" s="8" t="s">
        <v>81</v>
      </c>
      <c r="D19" s="8" t="s">
        <v>82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882</v>
      </c>
      <c r="C20" s="7" t="s">
        <v>522</v>
      </c>
      <c r="D20" s="7" t="s">
        <v>523</v>
      </c>
      <c r="E20" s="7">
        <v>2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878</v>
      </c>
      <c r="C21" s="8" t="s">
        <v>522</v>
      </c>
      <c r="D21" s="8" t="s">
        <v>523</v>
      </c>
      <c r="E21" s="8">
        <v>2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876</v>
      </c>
      <c r="C22" s="7" t="s">
        <v>537</v>
      </c>
      <c r="D22" s="7" t="s">
        <v>538</v>
      </c>
      <c r="E22" s="7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872</v>
      </c>
      <c r="C23" s="8" t="s">
        <v>480</v>
      </c>
      <c r="D23" s="8" t="s">
        <v>482</v>
      </c>
      <c r="E23" s="8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870</v>
      </c>
      <c r="C24" s="7" t="s">
        <v>828</v>
      </c>
      <c r="D24" s="7" t="s">
        <v>829</v>
      </c>
      <c r="E24" s="7">
        <v>1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868</v>
      </c>
      <c r="C25" s="8" t="s">
        <v>469</v>
      </c>
      <c r="D25" s="8" t="s">
        <v>470</v>
      </c>
      <c r="E25" s="8">
        <v>1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184</v>
      </c>
      <c r="C26" s="7" t="s">
        <v>31</v>
      </c>
      <c r="D26" s="7" t="s">
        <v>32</v>
      </c>
      <c r="E26" s="7">
        <v>4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201</v>
      </c>
      <c r="C27" s="8" t="s">
        <v>31</v>
      </c>
      <c r="D27" s="8" t="s">
        <v>32</v>
      </c>
      <c r="E27" s="8">
        <v>17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455</v>
      </c>
      <c r="C28" s="7" t="s">
        <v>328</v>
      </c>
      <c r="D28" s="7" t="s">
        <v>456</v>
      </c>
      <c r="E28" s="7">
        <v>1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487</v>
      </c>
      <c r="C29" s="8" t="s">
        <v>328</v>
      </c>
      <c r="D29" s="8" t="s">
        <v>456</v>
      </c>
      <c r="E29" s="8">
        <v>3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29</v>
      </c>
      <c r="C30" s="7" t="s">
        <v>31</v>
      </c>
      <c r="D30" s="7" t="s">
        <v>32</v>
      </c>
      <c r="E30" s="7">
        <v>4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157</v>
      </c>
      <c r="C31" s="8" t="s">
        <v>31</v>
      </c>
      <c r="D31" s="8" t="s">
        <v>32</v>
      </c>
      <c r="E31" s="8">
        <v>8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734</v>
      </c>
      <c r="C32" s="7" t="s">
        <v>31</v>
      </c>
      <c r="D32" s="7" t="s">
        <v>32</v>
      </c>
      <c r="E32" s="7">
        <v>8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817</v>
      </c>
      <c r="C33" s="8" t="s">
        <v>31</v>
      </c>
      <c r="D33" s="8" t="s">
        <v>32</v>
      </c>
      <c r="E33" s="8">
        <v>9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733</v>
      </c>
      <c r="C34" s="7" t="s">
        <v>332</v>
      </c>
      <c r="D34" s="7" t="s">
        <v>333</v>
      </c>
      <c r="E34" s="7">
        <v>1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554</v>
      </c>
      <c r="C35" s="8" t="s">
        <v>555</v>
      </c>
      <c r="D35" s="8" t="s">
        <v>556</v>
      </c>
      <c r="E35" s="8">
        <v>2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846</v>
      </c>
      <c r="C36" s="7" t="s">
        <v>328</v>
      </c>
      <c r="D36" s="7" t="s">
        <v>329</v>
      </c>
      <c r="E36" s="7">
        <v>1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841</v>
      </c>
      <c r="C37" s="8" t="s">
        <v>842</v>
      </c>
      <c r="D37" s="8" t="s">
        <v>843</v>
      </c>
      <c r="E37" s="8">
        <v>1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471</v>
      </c>
      <c r="C38" s="7" t="s">
        <v>21</v>
      </c>
      <c r="D38" s="7" t="s">
        <v>23</v>
      </c>
      <c r="E38" s="7">
        <v>2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>
      <c r="A39" s="8">
        <v>35</v>
      </c>
      <c r="B39" s="8" t="s">
        <v>68</v>
      </c>
      <c r="C39" s="8" t="s">
        <v>21</v>
      </c>
      <c r="D39" s="8" t="s">
        <v>23</v>
      </c>
      <c r="E39" s="8">
        <v>4</v>
      </c>
      <c r="F39" s="8" t="str">
        <f t="array" ref="F39">IFERROR(_xlfn.XLOOKUP(B39,#REF!,#REF!,""),"")</f>
        <v/>
      </c>
      <c r="G39" s="8" t="str">
        <f t="array" ref="G39">IFERROR(_xlfn.XLOOKUP(B39,#REF!,#REF!,""),"")</f>
        <v/>
      </c>
      <c r="H39" s="8" t="str">
        <f t="array" ref="H39">IFERROR(_xlfn.XLOOKUP(B39,#REF!,#REF!,""),"")</f>
        <v/>
      </c>
      <c r="I39" s="3"/>
      <c r="J39" s="3"/>
    </row>
    <row r="40" spans="1:10" ht="15.75" customHeight="1" x14ac:dyDescent="0.3">
      <c r="A40" s="7">
        <v>36</v>
      </c>
      <c r="B40" s="7" t="s">
        <v>833</v>
      </c>
      <c r="C40" s="7" t="s">
        <v>21</v>
      </c>
      <c r="D40" s="7" t="s">
        <v>23</v>
      </c>
      <c r="E40" s="7">
        <v>1</v>
      </c>
      <c r="F40" s="7" t="str">
        <f t="array" ref="F40">IFERROR(_xlfn.XLOOKUP(B40,#REF!,#REF!,""),"")</f>
        <v/>
      </c>
      <c r="G40" s="7" t="str">
        <f t="array" ref="G40">IFERROR(_xlfn.XLOOKUP(B40,#REF!,#REF!,""),"")</f>
        <v/>
      </c>
      <c r="H40" s="7" t="str">
        <f t="array" ref="H40">IFERROR(_xlfn.XLOOKUP(B40,#REF!,#REF!,""),"")</f>
        <v/>
      </c>
      <c r="I40" s="3"/>
      <c r="J40" s="3"/>
    </row>
    <row r="41" spans="1:10" ht="15.75" customHeight="1" x14ac:dyDescent="0.3">
      <c r="A41" s="8">
        <v>37</v>
      </c>
      <c r="B41" s="8" t="s">
        <v>33</v>
      </c>
      <c r="C41" s="8" t="s">
        <v>21</v>
      </c>
      <c r="D41" s="8" t="s">
        <v>23</v>
      </c>
      <c r="E41" s="8">
        <v>1</v>
      </c>
      <c r="F41" s="8" t="str">
        <f t="array" ref="F41">IFERROR(_xlfn.XLOOKUP(B41,#REF!,#REF!,""),"")</f>
        <v/>
      </c>
      <c r="G41" s="8" t="str">
        <f t="array" ref="G41">IFERROR(_xlfn.XLOOKUP(B41,#REF!,#REF!,""),"")</f>
        <v/>
      </c>
      <c r="H41" s="8" t="str">
        <f t="array" ref="H41">IFERROR(_xlfn.XLOOKUP(B41,#REF!,#REF!,""),"")</f>
        <v/>
      </c>
      <c r="I41" s="3"/>
      <c r="J41" s="3"/>
    </row>
    <row r="42" spans="1:10" ht="15.75" customHeight="1" x14ac:dyDescent="0.3">
      <c r="A42" s="7">
        <v>38</v>
      </c>
      <c r="B42" s="7" t="s">
        <v>581</v>
      </c>
      <c r="C42" s="7" t="s">
        <v>21</v>
      </c>
      <c r="D42" s="7" t="s">
        <v>23</v>
      </c>
      <c r="E42" s="7">
        <v>4</v>
      </c>
      <c r="F42" s="7" t="str">
        <f t="array" ref="F42">IFERROR(_xlfn.XLOOKUP(B42,#REF!,#REF!,""),"")</f>
        <v/>
      </c>
      <c r="G42" s="7" t="str">
        <f t="array" ref="G42">IFERROR(_xlfn.XLOOKUP(B42,#REF!,#REF!,""),"")</f>
        <v/>
      </c>
      <c r="H42" s="7" t="str">
        <f t="array" ref="H42">IFERROR(_xlfn.XLOOKUP(B42,#REF!,#REF!,""),"")</f>
        <v/>
      </c>
      <c r="I42" s="3"/>
      <c r="J42" s="3"/>
    </row>
    <row r="43" spans="1:10" ht="15.75" customHeight="1" x14ac:dyDescent="0.3">
      <c r="A43" s="8">
        <v>39</v>
      </c>
      <c r="B43" s="8" t="s">
        <v>547</v>
      </c>
      <c r="C43" s="8" t="s">
        <v>21</v>
      </c>
      <c r="D43" s="8" t="s">
        <v>23</v>
      </c>
      <c r="E43" s="8">
        <v>9</v>
      </c>
      <c r="F43" s="8" t="str">
        <f t="array" ref="F43">IFERROR(_xlfn.XLOOKUP(B43,#REF!,#REF!,""),"")</f>
        <v/>
      </c>
      <c r="G43" s="8" t="str">
        <f t="array" ref="G43">IFERROR(_xlfn.XLOOKUP(B43,#REF!,#REF!,""),"")</f>
        <v/>
      </c>
      <c r="H43" s="8" t="str">
        <f t="array" ref="H43">IFERROR(_xlfn.XLOOKUP(B43,#REF!,#REF!,""),"")</f>
        <v/>
      </c>
      <c r="I43" s="3"/>
      <c r="J43" s="3"/>
    </row>
    <row r="44" spans="1:10" ht="15.75" customHeight="1" x14ac:dyDescent="0.3">
      <c r="A44" s="7">
        <v>40</v>
      </c>
      <c r="B44" s="7" t="s">
        <v>490</v>
      </c>
      <c r="C44" s="7" t="s">
        <v>21</v>
      </c>
      <c r="D44" s="7" t="s">
        <v>23</v>
      </c>
      <c r="E44" s="7">
        <v>2</v>
      </c>
      <c r="F44" s="7" t="str">
        <f t="array" ref="F44">IFERROR(_xlfn.XLOOKUP(B44,#REF!,#REF!,""),"")</f>
        <v/>
      </c>
      <c r="G44" s="7" t="str">
        <f t="array" ref="G44">IFERROR(_xlfn.XLOOKUP(B44,#REF!,#REF!,""),"")</f>
        <v/>
      </c>
      <c r="H44" s="7" t="str">
        <f t="array" ref="H44">IFERROR(_xlfn.XLOOKUP(B44,#REF!,#REF!,""),"")</f>
        <v/>
      </c>
      <c r="I44" s="3"/>
      <c r="J44" s="3"/>
    </row>
    <row r="45" spans="1:10" ht="15.75" customHeight="1" x14ac:dyDescent="0.3">
      <c r="A45" s="8">
        <v>41</v>
      </c>
      <c r="B45" s="8" t="s">
        <v>825</v>
      </c>
      <c r="C45" s="8" t="s">
        <v>17</v>
      </c>
      <c r="D45" s="8" t="s">
        <v>18</v>
      </c>
      <c r="E45" s="8">
        <v>2</v>
      </c>
      <c r="F45" s="8" t="str">
        <f t="array" ref="F45">IFERROR(_xlfn.XLOOKUP(B45,#REF!,#REF!,""),"")</f>
        <v/>
      </c>
      <c r="G45" s="8" t="str">
        <f t="array" ref="G45">IFERROR(_xlfn.XLOOKUP(B45,#REF!,#REF!,""),"")</f>
        <v/>
      </c>
      <c r="H45" s="8" t="str">
        <f t="array" ref="H45">IFERROR(_xlfn.XLOOKUP(B45,#REF!,#REF!,""),"")</f>
        <v/>
      </c>
      <c r="I45" s="3"/>
      <c r="J45" s="3"/>
    </row>
    <row r="46" spans="1:10" ht="15.75" customHeight="1" x14ac:dyDescent="0.3">
      <c r="A46" s="7">
        <v>42</v>
      </c>
      <c r="B46" s="7" t="s">
        <v>435</v>
      </c>
      <c r="C46" s="7" t="s">
        <v>17</v>
      </c>
      <c r="D46" s="7" t="s">
        <v>18</v>
      </c>
      <c r="E46" s="7">
        <v>4</v>
      </c>
      <c r="F46" s="7" t="str">
        <f t="array" ref="F46">IFERROR(_xlfn.XLOOKUP(B46,#REF!,#REF!,""),"")</f>
        <v/>
      </c>
      <c r="G46" s="7" t="str">
        <f t="array" ref="G46">IFERROR(_xlfn.XLOOKUP(B46,#REF!,#REF!,""),"")</f>
        <v/>
      </c>
      <c r="H46" s="7" t="str">
        <f t="array" ref="H46">IFERROR(_xlfn.XLOOKUP(B46,#REF!,#REF!,""),"")</f>
        <v/>
      </c>
      <c r="I46" s="3"/>
      <c r="J46" s="3"/>
    </row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6" xr:uid="{00000000-0009-0000-0000-000022000000}">
    <sortState xmlns:xlrd2="http://schemas.microsoft.com/office/spreadsheetml/2017/richdata2" ref="A5:H46">
      <sortCondition ref="A4:A46"/>
    </sortState>
  </autoFilter>
  <mergeCells count="2">
    <mergeCell ref="A1:H1"/>
    <mergeCell ref="A2:H2"/>
  </mergeCells>
  <conditionalFormatting sqref="G5:G46">
    <cfRule type="expression" dxfId="116" priority="1">
      <formula>G5="OUT OF STOCK"</formula>
    </cfRule>
    <cfRule type="expression" dxfId="115" priority="2">
      <formula>G5="REORDER"</formula>
    </cfRule>
    <cfRule type="expression" dxfId="11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C12" sqref="C1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3.4" customHeight="1" x14ac:dyDescent="0.3">
      <c r="A1" s="24" t="s">
        <v>145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146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848</v>
      </c>
      <c r="C5" s="7" t="s">
        <v>849</v>
      </c>
      <c r="D5" s="7" t="s">
        <v>850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23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113" priority="1">
      <formula>G5="OUT OF STOCK"</formula>
    </cfRule>
    <cfRule type="expression" dxfId="112" priority="2">
      <formula>G5="REORDER"</formula>
    </cfRule>
    <cfRule type="expression" dxfId="11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5.25" customHeight="1" x14ac:dyDescent="0.3">
      <c r="A1" s="24" t="s">
        <v>148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149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896</v>
      </c>
      <c r="C5" s="7" t="s">
        <v>17</v>
      </c>
      <c r="D5" s="7" t="s">
        <v>18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892</v>
      </c>
      <c r="C6" s="8" t="s">
        <v>893</v>
      </c>
      <c r="D6" s="8" t="s">
        <v>894</v>
      </c>
      <c r="E6" s="8">
        <v>3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132</v>
      </c>
      <c r="C7" s="7" t="s">
        <v>72</v>
      </c>
      <c r="D7" s="7" t="s">
        <v>73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7" xr:uid="{00000000-0009-0000-0000-000024000000}">
    <sortState xmlns:xlrd2="http://schemas.microsoft.com/office/spreadsheetml/2017/richdata2" ref="A5:H7">
      <sortCondition ref="A4:A7"/>
    </sortState>
  </autoFilter>
  <mergeCells count="2">
    <mergeCell ref="A1:H1"/>
    <mergeCell ref="A2:H2"/>
  </mergeCells>
  <conditionalFormatting sqref="G5:G7">
    <cfRule type="expression" dxfId="110" priority="1">
      <formula>G5="OUT OF STOCK"</formula>
    </cfRule>
    <cfRule type="expression" dxfId="109" priority="2">
      <formula>G5="REORDER"</formula>
    </cfRule>
    <cfRule type="expression" dxfId="108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151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152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356</v>
      </c>
      <c r="C5" s="7" t="s">
        <v>81</v>
      </c>
      <c r="D5" s="7" t="s">
        <v>82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442</v>
      </c>
      <c r="C6" s="8" t="s">
        <v>17</v>
      </c>
      <c r="D6" s="8" t="s">
        <v>18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446</v>
      </c>
      <c r="C7" s="7" t="s">
        <v>17</v>
      </c>
      <c r="D7" s="7" t="s">
        <v>18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942</v>
      </c>
      <c r="C8" s="8" t="s">
        <v>17</v>
      </c>
      <c r="D8" s="8" t="s">
        <v>18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955</v>
      </c>
      <c r="C9" s="7" t="s">
        <v>272</v>
      </c>
      <c r="D9" s="7" t="s">
        <v>273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962</v>
      </c>
      <c r="C10" s="8" t="s">
        <v>91</v>
      </c>
      <c r="D10" s="8" t="s">
        <v>92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959</v>
      </c>
      <c r="C11" s="7" t="s">
        <v>960</v>
      </c>
      <c r="D11" s="7" t="s">
        <v>961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956</v>
      </c>
      <c r="C12" s="8" t="s">
        <v>957</v>
      </c>
      <c r="D12" s="8" t="s">
        <v>958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952</v>
      </c>
      <c r="C13" s="7" t="s">
        <v>953</v>
      </c>
      <c r="D13" s="7" t="s">
        <v>954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949</v>
      </c>
      <c r="C14" s="8" t="s">
        <v>950</v>
      </c>
      <c r="D14" s="8" t="s">
        <v>951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948</v>
      </c>
      <c r="C15" s="7" t="s">
        <v>474</v>
      </c>
      <c r="D15" s="7" t="s">
        <v>475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945</v>
      </c>
      <c r="C16" s="8" t="s">
        <v>946</v>
      </c>
      <c r="D16" s="8" t="s">
        <v>947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943</v>
      </c>
      <c r="C17" s="7" t="s">
        <v>469</v>
      </c>
      <c r="D17" s="7" t="s">
        <v>470</v>
      </c>
      <c r="E17" s="7">
        <v>5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940</v>
      </c>
      <c r="C18" s="8" t="s">
        <v>469</v>
      </c>
      <c r="D18" s="8" t="s">
        <v>470</v>
      </c>
      <c r="E18" s="8">
        <v>4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184</v>
      </c>
      <c r="C19" s="7" t="s">
        <v>31</v>
      </c>
      <c r="D19" s="7" t="s">
        <v>32</v>
      </c>
      <c r="E19" s="7">
        <v>8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201</v>
      </c>
      <c r="C20" s="8" t="s">
        <v>31</v>
      </c>
      <c r="D20" s="8" t="s">
        <v>32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164</v>
      </c>
      <c r="C21" s="7" t="s">
        <v>31</v>
      </c>
      <c r="D21" s="7" t="s">
        <v>32</v>
      </c>
      <c r="E21" s="7">
        <v>8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935</v>
      </c>
      <c r="C22" s="8" t="s">
        <v>31</v>
      </c>
      <c r="D22" s="8" t="s">
        <v>32</v>
      </c>
      <c r="E22" s="8">
        <v>8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734</v>
      </c>
      <c r="C23" s="7" t="s">
        <v>31</v>
      </c>
      <c r="D23" s="7" t="s">
        <v>32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733</v>
      </c>
      <c r="C24" s="8" t="s">
        <v>332</v>
      </c>
      <c r="D24" s="8" t="s">
        <v>333</v>
      </c>
      <c r="E24" s="8">
        <v>2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931</v>
      </c>
      <c r="C25" s="7" t="s">
        <v>555</v>
      </c>
      <c r="D25" s="7" t="s">
        <v>556</v>
      </c>
      <c r="E25" s="7">
        <v>3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929</v>
      </c>
      <c r="C26" s="8" t="s">
        <v>924</v>
      </c>
      <c r="D26" s="8" t="s">
        <v>925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927</v>
      </c>
      <c r="C27" s="7" t="s">
        <v>141</v>
      </c>
      <c r="D27" s="7" t="s">
        <v>142</v>
      </c>
      <c r="E27" s="7">
        <v>1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923</v>
      </c>
      <c r="C28" s="8" t="s">
        <v>924</v>
      </c>
      <c r="D28" s="8" t="s">
        <v>925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922</v>
      </c>
      <c r="C29" s="7" t="s">
        <v>332</v>
      </c>
      <c r="D29" s="7" t="s">
        <v>333</v>
      </c>
      <c r="E29" s="7">
        <v>3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920</v>
      </c>
      <c r="C30" s="8" t="s">
        <v>328</v>
      </c>
      <c r="D30" s="8" t="s">
        <v>329</v>
      </c>
      <c r="E30" s="8">
        <v>2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915</v>
      </c>
      <c r="C31" s="7" t="s">
        <v>328</v>
      </c>
      <c r="D31" s="7" t="s">
        <v>329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911</v>
      </c>
      <c r="C32" s="8" t="s">
        <v>290</v>
      </c>
      <c r="D32" s="8" t="s">
        <v>291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841</v>
      </c>
      <c r="C33" s="7" t="s">
        <v>842</v>
      </c>
      <c r="D33" s="7" t="s">
        <v>843</v>
      </c>
      <c r="E33" s="7">
        <v>3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728</v>
      </c>
      <c r="C34" s="8" t="s">
        <v>153</v>
      </c>
      <c r="D34" s="8" t="s">
        <v>154</v>
      </c>
      <c r="E34" s="8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909</v>
      </c>
      <c r="C35" s="7" t="s">
        <v>21</v>
      </c>
      <c r="D35" s="7" t="s">
        <v>23</v>
      </c>
      <c r="E35" s="7">
        <v>2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61</v>
      </c>
      <c r="C36" s="8" t="s">
        <v>21</v>
      </c>
      <c r="D36" s="8" t="s">
        <v>23</v>
      </c>
      <c r="E36" s="8">
        <v>4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52</v>
      </c>
      <c r="C37" s="7" t="s">
        <v>21</v>
      </c>
      <c r="D37" s="7" t="s">
        <v>23</v>
      </c>
      <c r="E37" s="7">
        <v>4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833</v>
      </c>
      <c r="C38" s="8" t="s">
        <v>21</v>
      </c>
      <c r="D38" s="8" t="s">
        <v>23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825</v>
      </c>
      <c r="C39" s="7" t="s">
        <v>17</v>
      </c>
      <c r="D39" s="7" t="s">
        <v>18</v>
      </c>
      <c r="E39" s="7">
        <v>3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39" xr:uid="{00000000-0009-0000-0000-000025000000}">
    <sortState xmlns:xlrd2="http://schemas.microsoft.com/office/spreadsheetml/2017/richdata2" ref="A5:H39">
      <sortCondition ref="A4:A39"/>
    </sortState>
  </autoFilter>
  <mergeCells count="2">
    <mergeCell ref="A1:H1"/>
    <mergeCell ref="A2:H2"/>
  </mergeCells>
  <conditionalFormatting sqref="G5:G39">
    <cfRule type="expression" dxfId="107" priority="1">
      <formula>G5="OUT OF STOCK"</formula>
    </cfRule>
    <cfRule type="expression" dxfId="106" priority="2">
      <formula>G5="REORDER"</formula>
    </cfRule>
    <cfRule type="expression" dxfId="105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3.65" customHeight="1" x14ac:dyDescent="0.3">
      <c r="A1" s="24" t="s">
        <v>155</v>
      </c>
      <c r="B1" s="24"/>
      <c r="C1" s="24"/>
      <c r="D1" s="24"/>
      <c r="E1" s="24"/>
      <c r="F1" s="24"/>
      <c r="G1" s="24"/>
      <c r="H1" s="24"/>
      <c r="I1" s="3"/>
      <c r="J1" s="4"/>
    </row>
    <row r="2" spans="1:10" ht="16.5" x14ac:dyDescent="0.3">
      <c r="A2" s="27" t="s">
        <v>156</v>
      </c>
      <c r="B2" s="27"/>
      <c r="C2" s="27"/>
      <c r="D2" s="27"/>
      <c r="E2" s="27"/>
      <c r="F2" s="27"/>
      <c r="G2" s="27"/>
      <c r="H2" s="27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11">
        <v>1</v>
      </c>
      <c r="B5" s="12" t="s">
        <v>362</v>
      </c>
      <c r="C5" s="12" t="s">
        <v>363</v>
      </c>
      <c r="D5" s="12" t="s">
        <v>1347</v>
      </c>
      <c r="E5" s="12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13">
        <v>2</v>
      </c>
      <c r="B6" s="14" t="s">
        <v>367</v>
      </c>
      <c r="C6" s="14" t="s">
        <v>72</v>
      </c>
      <c r="D6" s="14" t="s">
        <v>73</v>
      </c>
      <c r="E6" s="14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11">
        <v>3</v>
      </c>
      <c r="B7" s="12" t="s">
        <v>369</v>
      </c>
      <c r="C7" s="12" t="s">
        <v>81</v>
      </c>
      <c r="D7" s="12" t="s">
        <v>82</v>
      </c>
      <c r="E7" s="12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13">
        <v>4</v>
      </c>
      <c r="B8" s="14" t="s">
        <v>371</v>
      </c>
      <c r="C8" s="14" t="s">
        <v>138</v>
      </c>
      <c r="D8" s="14" t="s">
        <v>139</v>
      </c>
      <c r="E8" s="14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11">
        <v>5</v>
      </c>
      <c r="B9" s="12" t="s">
        <v>789</v>
      </c>
      <c r="C9" s="12" t="s">
        <v>645</v>
      </c>
      <c r="D9" s="12" t="s">
        <v>645</v>
      </c>
      <c r="E9" s="12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13">
        <v>6</v>
      </c>
      <c r="B10" s="14" t="s">
        <v>944</v>
      </c>
      <c r="C10" s="14" t="s">
        <v>644</v>
      </c>
      <c r="D10" s="14" t="s">
        <v>645</v>
      </c>
      <c r="E10" s="14">
        <v>4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11">
        <v>7</v>
      </c>
      <c r="B11" s="12" t="s">
        <v>941</v>
      </c>
      <c r="C11" s="12" t="s">
        <v>530</v>
      </c>
      <c r="D11" s="12" t="s">
        <v>531</v>
      </c>
      <c r="E11" s="12">
        <v>4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13">
        <v>8</v>
      </c>
      <c r="B12" s="14" t="s">
        <v>939</v>
      </c>
      <c r="C12" s="14" t="s">
        <v>591</v>
      </c>
      <c r="D12" s="14" t="s">
        <v>523</v>
      </c>
      <c r="E12" s="14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11">
        <v>9</v>
      </c>
      <c r="B13" s="12" t="s">
        <v>938</v>
      </c>
      <c r="C13" s="12" t="s">
        <v>81</v>
      </c>
      <c r="D13" s="12" t="s">
        <v>82</v>
      </c>
      <c r="E13" s="12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13">
        <v>10</v>
      </c>
      <c r="B14" s="14" t="s">
        <v>937</v>
      </c>
      <c r="C14" s="14" t="s">
        <v>138</v>
      </c>
      <c r="D14" s="14" t="s">
        <v>139</v>
      </c>
      <c r="E14" s="14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11">
        <v>11</v>
      </c>
      <c r="B15" s="12" t="s">
        <v>936</v>
      </c>
      <c r="C15" s="12" t="s">
        <v>297</v>
      </c>
      <c r="D15" s="12" t="s">
        <v>82</v>
      </c>
      <c r="E15" s="12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13">
        <v>12</v>
      </c>
      <c r="B16" s="14" t="s">
        <v>934</v>
      </c>
      <c r="C16" s="14" t="s">
        <v>399</v>
      </c>
      <c r="D16" s="14" t="s">
        <v>400</v>
      </c>
      <c r="E16" s="14">
        <v>8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11">
        <v>13</v>
      </c>
      <c r="B17" s="12" t="s">
        <v>933</v>
      </c>
      <c r="C17" s="12" t="s">
        <v>37</v>
      </c>
      <c r="D17" s="12" t="s">
        <v>38</v>
      </c>
      <c r="E17" s="12">
        <v>3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13">
        <v>14</v>
      </c>
      <c r="B18" s="14" t="s">
        <v>932</v>
      </c>
      <c r="C18" s="14" t="s">
        <v>31</v>
      </c>
      <c r="D18" s="14" t="s">
        <v>32</v>
      </c>
      <c r="E18" s="14">
        <v>2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4" x14ac:dyDescent="0.3">
      <c r="A19" s="11">
        <v>15</v>
      </c>
      <c r="B19" s="12" t="s">
        <v>930</v>
      </c>
      <c r="C19" s="12" t="s">
        <v>138</v>
      </c>
      <c r="D19" s="12" t="s">
        <v>139</v>
      </c>
      <c r="E19" s="12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4" x14ac:dyDescent="0.3">
      <c r="A20" s="13">
        <v>16</v>
      </c>
      <c r="B20" s="14" t="s">
        <v>928</v>
      </c>
      <c r="C20" s="14" t="s">
        <v>81</v>
      </c>
      <c r="D20" s="14" t="s">
        <v>82</v>
      </c>
      <c r="E20" s="14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4" x14ac:dyDescent="0.3">
      <c r="A21" s="11">
        <v>17</v>
      </c>
      <c r="B21" s="12" t="s">
        <v>926</v>
      </c>
      <c r="C21" s="12" t="s">
        <v>399</v>
      </c>
      <c r="D21" s="12" t="s">
        <v>400</v>
      </c>
      <c r="E21" s="12">
        <v>1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4" x14ac:dyDescent="0.3">
      <c r="A22" s="13">
        <v>18</v>
      </c>
      <c r="B22" s="14" t="s">
        <v>921</v>
      </c>
      <c r="C22" s="14" t="s">
        <v>433</v>
      </c>
      <c r="D22" s="14" t="s">
        <v>434</v>
      </c>
      <c r="E22" s="14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4" x14ac:dyDescent="0.3">
      <c r="A23" s="11">
        <v>19</v>
      </c>
      <c r="B23" s="12" t="s">
        <v>919</v>
      </c>
      <c r="C23" s="12" t="s">
        <v>37</v>
      </c>
      <c r="D23" s="12" t="s">
        <v>38</v>
      </c>
      <c r="E23" s="12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4" x14ac:dyDescent="0.3">
      <c r="A24" s="13">
        <v>20</v>
      </c>
      <c r="B24" s="14" t="s">
        <v>912</v>
      </c>
      <c r="C24" s="14" t="s">
        <v>913</v>
      </c>
      <c r="D24" s="14" t="s">
        <v>914</v>
      </c>
      <c r="E24" s="14">
        <v>2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4" x14ac:dyDescent="0.3">
      <c r="A25" s="11">
        <v>21</v>
      </c>
      <c r="B25" s="12" t="s">
        <v>910</v>
      </c>
      <c r="C25" s="12" t="s">
        <v>297</v>
      </c>
      <c r="D25" s="12" t="s">
        <v>82</v>
      </c>
      <c r="E25" s="12">
        <v>2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4" x14ac:dyDescent="0.3">
      <c r="A26" s="13">
        <v>22</v>
      </c>
      <c r="B26" s="14" t="s">
        <v>878</v>
      </c>
      <c r="C26" s="14" t="s">
        <v>522</v>
      </c>
      <c r="D26" s="14" t="s">
        <v>523</v>
      </c>
      <c r="E26" s="14">
        <v>2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4" x14ac:dyDescent="0.3">
      <c r="A27" s="11">
        <v>23</v>
      </c>
      <c r="B27" s="12" t="s">
        <v>906</v>
      </c>
      <c r="C27" s="12" t="s">
        <v>907</v>
      </c>
      <c r="D27" s="12" t="s">
        <v>908</v>
      </c>
      <c r="E27" s="12">
        <v>1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4" x14ac:dyDescent="0.3">
      <c r="A28" s="13">
        <v>24</v>
      </c>
      <c r="B28" s="14" t="s">
        <v>274</v>
      </c>
      <c r="C28" s="14" t="s">
        <v>275</v>
      </c>
      <c r="D28" s="14" t="s">
        <v>276</v>
      </c>
      <c r="E28" s="14">
        <v>4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s="17" customFormat="1" ht="14" x14ac:dyDescent="0.3">
      <c r="A29" s="15">
        <v>25</v>
      </c>
      <c r="B29" s="16"/>
      <c r="C29" s="16"/>
      <c r="D29" s="16"/>
      <c r="E29" s="16"/>
    </row>
    <row r="30" spans="1:10" ht="14" x14ac:dyDescent="0.3">
      <c r="A30" s="13">
        <v>26</v>
      </c>
      <c r="B30" s="14" t="s">
        <v>507</v>
      </c>
      <c r="C30" s="14" t="s">
        <v>43</v>
      </c>
      <c r="D30" s="14" t="s">
        <v>44</v>
      </c>
      <c r="E30" s="14">
        <v>2</v>
      </c>
    </row>
    <row r="31" spans="1:10" ht="14" x14ac:dyDescent="0.3">
      <c r="A31" s="11">
        <v>27</v>
      </c>
      <c r="B31" s="12" t="s">
        <v>1346</v>
      </c>
      <c r="C31" s="12" t="s">
        <v>141</v>
      </c>
      <c r="D31" s="12" t="s">
        <v>142</v>
      </c>
      <c r="E31" s="12">
        <v>4</v>
      </c>
    </row>
    <row r="32" spans="1:10" ht="14" x14ac:dyDescent="0.3">
      <c r="A32" s="13">
        <v>28</v>
      </c>
      <c r="B32" s="14" t="s">
        <v>1345</v>
      </c>
      <c r="C32" s="14" t="s">
        <v>384</v>
      </c>
      <c r="D32" s="14" t="s">
        <v>385</v>
      </c>
      <c r="E32" s="14">
        <v>4</v>
      </c>
    </row>
    <row r="33" spans="1:5" ht="14" x14ac:dyDescent="0.3">
      <c r="A33" s="11">
        <v>29</v>
      </c>
      <c r="B33" s="12" t="s">
        <v>1344</v>
      </c>
      <c r="C33" s="12" t="s">
        <v>1165</v>
      </c>
      <c r="D33" s="12" t="s">
        <v>1166</v>
      </c>
      <c r="E33" s="12">
        <v>2</v>
      </c>
    </row>
    <row r="34" spans="1:5" ht="14" x14ac:dyDescent="0.3">
      <c r="A34" s="13">
        <v>30</v>
      </c>
      <c r="B34" s="14" t="s">
        <v>1343</v>
      </c>
      <c r="C34" s="14" t="s">
        <v>399</v>
      </c>
      <c r="D34" s="14" t="s">
        <v>400</v>
      </c>
      <c r="E34" s="14">
        <v>4</v>
      </c>
    </row>
    <row r="35" spans="1:5" ht="14" x14ac:dyDescent="0.3">
      <c r="A35" s="11">
        <v>31</v>
      </c>
      <c r="B35" s="12" t="s">
        <v>1160</v>
      </c>
      <c r="C35" s="12" t="s">
        <v>614</v>
      </c>
      <c r="D35" s="12" t="s">
        <v>538</v>
      </c>
      <c r="E35" s="12">
        <v>2</v>
      </c>
    </row>
    <row r="36" spans="1:5" ht="14" x14ac:dyDescent="0.3">
      <c r="A36" s="13">
        <v>32</v>
      </c>
      <c r="B36" s="14" t="s">
        <v>1158</v>
      </c>
      <c r="C36" s="14" t="s">
        <v>614</v>
      </c>
      <c r="D36" s="14" t="s">
        <v>538</v>
      </c>
      <c r="E36" s="14">
        <v>2</v>
      </c>
    </row>
    <row r="37" spans="1:5" ht="14" x14ac:dyDescent="0.3">
      <c r="A37" s="11">
        <v>33</v>
      </c>
      <c r="B37" s="12" t="s">
        <v>1155</v>
      </c>
      <c r="C37" s="12" t="s">
        <v>474</v>
      </c>
      <c r="D37" s="12" t="s">
        <v>475</v>
      </c>
      <c r="E37" s="12">
        <v>2</v>
      </c>
    </row>
    <row r="38" spans="1:5" ht="14" x14ac:dyDescent="0.3">
      <c r="A38" s="13">
        <v>34</v>
      </c>
      <c r="B38" s="14" t="s">
        <v>1154</v>
      </c>
      <c r="C38" s="14" t="s">
        <v>474</v>
      </c>
      <c r="D38" s="14" t="s">
        <v>475</v>
      </c>
      <c r="E38" s="14">
        <v>2</v>
      </c>
    </row>
    <row r="39" spans="1:5" ht="14" x14ac:dyDescent="0.3">
      <c r="A39" s="11">
        <v>35</v>
      </c>
      <c r="B39" s="12" t="s">
        <v>1149</v>
      </c>
      <c r="C39" s="12" t="s">
        <v>217</v>
      </c>
      <c r="D39" s="12" t="s">
        <v>218</v>
      </c>
      <c r="E39" s="12">
        <v>2</v>
      </c>
    </row>
    <row r="40" spans="1:5" ht="14" x14ac:dyDescent="0.3">
      <c r="A40" s="13">
        <v>36</v>
      </c>
      <c r="B40" s="14" t="s">
        <v>1342</v>
      </c>
      <c r="C40" s="14" t="s">
        <v>1147</v>
      </c>
      <c r="D40" s="14" t="s">
        <v>1148</v>
      </c>
      <c r="E40" s="14">
        <v>2</v>
      </c>
    </row>
    <row r="41" spans="1:5" ht="14" x14ac:dyDescent="0.3">
      <c r="A41" s="11">
        <v>37</v>
      </c>
      <c r="B41" s="12" t="s">
        <v>1143</v>
      </c>
      <c r="C41" s="12" t="s">
        <v>1144</v>
      </c>
      <c r="D41" s="12" t="s">
        <v>1145</v>
      </c>
      <c r="E41" s="12">
        <v>2</v>
      </c>
    </row>
    <row r="42" spans="1:5" ht="14" x14ac:dyDescent="0.3">
      <c r="A42" s="13">
        <v>38</v>
      </c>
      <c r="B42" s="14" t="s">
        <v>1142</v>
      </c>
      <c r="C42" s="14" t="s">
        <v>469</v>
      </c>
      <c r="D42" s="14" t="s">
        <v>470</v>
      </c>
      <c r="E42" s="14">
        <v>9</v>
      </c>
    </row>
    <row r="43" spans="1:5" ht="14" x14ac:dyDescent="0.3">
      <c r="A43" s="11">
        <v>39</v>
      </c>
      <c r="B43" s="12" t="s">
        <v>1141</v>
      </c>
      <c r="C43" s="12" t="s">
        <v>946</v>
      </c>
      <c r="D43" s="12" t="s">
        <v>947</v>
      </c>
      <c r="E43" s="12">
        <v>2</v>
      </c>
    </row>
    <row r="44" spans="1:5" ht="14" x14ac:dyDescent="0.3">
      <c r="A44" s="13">
        <v>40</v>
      </c>
      <c r="B44" s="14" t="s">
        <v>1139</v>
      </c>
      <c r="C44" s="14" t="s">
        <v>1140</v>
      </c>
      <c r="D44" s="14" t="s">
        <v>92</v>
      </c>
      <c r="E44" s="14">
        <v>5</v>
      </c>
    </row>
    <row r="45" spans="1:5" ht="14" x14ac:dyDescent="0.3">
      <c r="A45" s="11">
        <v>41</v>
      </c>
      <c r="B45" s="12" t="s">
        <v>1138</v>
      </c>
      <c r="C45" s="12" t="s">
        <v>614</v>
      </c>
      <c r="D45" s="12" t="s">
        <v>538</v>
      </c>
      <c r="E45" s="12">
        <v>1</v>
      </c>
    </row>
    <row r="46" spans="1:5" ht="14" x14ac:dyDescent="0.3">
      <c r="A46" s="13">
        <v>42</v>
      </c>
      <c r="B46" s="14" t="s">
        <v>1137</v>
      </c>
      <c r="C46" s="14" t="s">
        <v>217</v>
      </c>
      <c r="D46" s="14" t="s">
        <v>218</v>
      </c>
      <c r="E46" s="14">
        <v>8</v>
      </c>
    </row>
    <row r="47" spans="1:5" ht="14" x14ac:dyDescent="0.3">
      <c r="A47" s="11">
        <v>43</v>
      </c>
      <c r="B47" s="12" t="s">
        <v>215</v>
      </c>
      <c r="C47" s="12" t="s">
        <v>217</v>
      </c>
      <c r="D47" s="12" t="s">
        <v>218</v>
      </c>
      <c r="E47" s="12">
        <v>2</v>
      </c>
    </row>
    <row r="48" spans="1:5" ht="14" x14ac:dyDescent="0.3">
      <c r="A48" s="13">
        <v>44</v>
      </c>
      <c r="B48" s="14" t="s">
        <v>788</v>
      </c>
      <c r="C48" s="14" t="s">
        <v>31</v>
      </c>
      <c r="D48" s="14" t="s">
        <v>32</v>
      </c>
      <c r="E48" s="14">
        <v>8</v>
      </c>
    </row>
    <row r="49" spans="1:5" ht="14" x14ac:dyDescent="0.3">
      <c r="A49" s="11">
        <v>45</v>
      </c>
      <c r="B49" s="12" t="s">
        <v>184</v>
      </c>
      <c r="C49" s="12" t="s">
        <v>31</v>
      </c>
      <c r="D49" s="12" t="s">
        <v>32</v>
      </c>
      <c r="E49" s="12">
        <v>16</v>
      </c>
    </row>
    <row r="50" spans="1:5" ht="14" x14ac:dyDescent="0.3">
      <c r="A50" s="13">
        <v>46</v>
      </c>
      <c r="B50" s="14" t="s">
        <v>201</v>
      </c>
      <c r="C50" s="14" t="s">
        <v>31</v>
      </c>
      <c r="D50" s="14" t="s">
        <v>32</v>
      </c>
      <c r="E50" s="14">
        <v>6</v>
      </c>
    </row>
    <row r="51" spans="1:5" ht="14" x14ac:dyDescent="0.3">
      <c r="A51" s="11">
        <v>47</v>
      </c>
      <c r="B51" s="12" t="s">
        <v>1199</v>
      </c>
      <c r="C51" s="12" t="s">
        <v>710</v>
      </c>
      <c r="D51" s="12" t="s">
        <v>711</v>
      </c>
      <c r="E51" s="12">
        <v>1</v>
      </c>
    </row>
    <row r="52" spans="1:5" ht="14" x14ac:dyDescent="0.3">
      <c r="A52" s="13">
        <v>48</v>
      </c>
      <c r="B52" s="14" t="s">
        <v>487</v>
      </c>
      <c r="C52" s="14" t="s">
        <v>328</v>
      </c>
      <c r="D52" s="14" t="s">
        <v>456</v>
      </c>
      <c r="E52" s="14">
        <v>2</v>
      </c>
    </row>
    <row r="53" spans="1:5" ht="14" x14ac:dyDescent="0.3">
      <c r="A53" s="11">
        <v>49</v>
      </c>
      <c r="B53" s="12" t="s">
        <v>1133</v>
      </c>
      <c r="C53" s="12" t="s">
        <v>290</v>
      </c>
      <c r="D53" s="12" t="s">
        <v>291</v>
      </c>
      <c r="E53" s="12">
        <v>1</v>
      </c>
    </row>
    <row r="54" spans="1:5" ht="14" x14ac:dyDescent="0.3">
      <c r="A54" s="13">
        <v>50</v>
      </c>
      <c r="B54" s="14" t="s">
        <v>1085</v>
      </c>
      <c r="C54" s="14" t="s">
        <v>290</v>
      </c>
      <c r="D54" s="14" t="s">
        <v>291</v>
      </c>
      <c r="E54" s="14">
        <v>1</v>
      </c>
    </row>
    <row r="55" spans="1:5" ht="14" x14ac:dyDescent="0.3">
      <c r="A55" s="11">
        <v>51</v>
      </c>
      <c r="B55" s="12" t="s">
        <v>1341</v>
      </c>
      <c r="C55" s="12" t="s">
        <v>31</v>
      </c>
      <c r="D55" s="12" t="s">
        <v>32</v>
      </c>
      <c r="E55" s="12">
        <v>4</v>
      </c>
    </row>
    <row r="56" spans="1:5" ht="14" x14ac:dyDescent="0.3">
      <c r="A56" s="13">
        <v>52</v>
      </c>
      <c r="B56" s="14" t="s">
        <v>382</v>
      </c>
      <c r="C56" s="14" t="s">
        <v>31</v>
      </c>
      <c r="D56" s="14" t="s">
        <v>32</v>
      </c>
      <c r="E56" s="14">
        <v>22</v>
      </c>
    </row>
    <row r="57" spans="1:5" ht="14" x14ac:dyDescent="0.3">
      <c r="A57" s="11">
        <v>53</v>
      </c>
      <c r="B57" s="12" t="s">
        <v>29</v>
      </c>
      <c r="C57" s="12" t="s">
        <v>31</v>
      </c>
      <c r="D57" s="12" t="s">
        <v>32</v>
      </c>
      <c r="E57" s="12">
        <v>10</v>
      </c>
    </row>
    <row r="58" spans="1:5" ht="14" x14ac:dyDescent="0.3">
      <c r="A58" s="13">
        <v>54</v>
      </c>
      <c r="B58" s="14" t="s">
        <v>164</v>
      </c>
      <c r="C58" s="14" t="s">
        <v>31</v>
      </c>
      <c r="D58" s="14" t="s">
        <v>32</v>
      </c>
      <c r="E58" s="14">
        <v>8</v>
      </c>
    </row>
    <row r="59" spans="1:5" ht="14" x14ac:dyDescent="0.3">
      <c r="A59" s="11">
        <v>55</v>
      </c>
      <c r="B59" s="12" t="s">
        <v>935</v>
      </c>
      <c r="C59" s="12" t="s">
        <v>31</v>
      </c>
      <c r="D59" s="12" t="s">
        <v>32</v>
      </c>
      <c r="E59" s="12">
        <v>4</v>
      </c>
    </row>
    <row r="60" spans="1:5" ht="14" x14ac:dyDescent="0.3">
      <c r="A60" s="13">
        <v>56</v>
      </c>
      <c r="B60" s="14" t="s">
        <v>157</v>
      </c>
      <c r="C60" s="14" t="s">
        <v>31</v>
      </c>
      <c r="D60" s="14" t="s">
        <v>32</v>
      </c>
      <c r="E60" s="14">
        <v>2</v>
      </c>
    </row>
    <row r="61" spans="1:5" ht="14" x14ac:dyDescent="0.3">
      <c r="A61" s="11">
        <v>57</v>
      </c>
      <c r="B61" s="12" t="s">
        <v>734</v>
      </c>
      <c r="C61" s="12" t="s">
        <v>31</v>
      </c>
      <c r="D61" s="12" t="s">
        <v>32</v>
      </c>
      <c r="E61" s="12">
        <v>12</v>
      </c>
    </row>
    <row r="62" spans="1:5" ht="14" x14ac:dyDescent="0.3">
      <c r="A62" s="13">
        <v>58</v>
      </c>
      <c r="B62" s="14" t="s">
        <v>554</v>
      </c>
      <c r="C62" s="14" t="s">
        <v>555</v>
      </c>
      <c r="D62" s="14" t="s">
        <v>556</v>
      </c>
      <c r="E62" s="14">
        <v>2</v>
      </c>
    </row>
    <row r="63" spans="1:5" ht="14" x14ac:dyDescent="0.3">
      <c r="A63" s="11">
        <v>59</v>
      </c>
      <c r="B63" s="12" t="s">
        <v>1216</v>
      </c>
      <c r="C63" s="12" t="s">
        <v>924</v>
      </c>
      <c r="D63" s="12" t="s">
        <v>925</v>
      </c>
      <c r="E63" s="12">
        <v>2</v>
      </c>
    </row>
    <row r="64" spans="1:5" ht="14" x14ac:dyDescent="0.3">
      <c r="A64" s="13">
        <v>60</v>
      </c>
      <c r="B64" s="14" t="s">
        <v>1132</v>
      </c>
      <c r="C64" s="14" t="s">
        <v>328</v>
      </c>
      <c r="D64" s="14" t="s">
        <v>329</v>
      </c>
      <c r="E64" s="14">
        <v>2</v>
      </c>
    </row>
    <row r="65" spans="1:5" ht="14" x14ac:dyDescent="0.3">
      <c r="A65" s="11">
        <v>61</v>
      </c>
      <c r="B65" s="12" t="s">
        <v>1340</v>
      </c>
      <c r="C65" s="12" t="s">
        <v>21</v>
      </c>
      <c r="D65" s="12" t="s">
        <v>23</v>
      </c>
      <c r="E65" s="12">
        <v>4</v>
      </c>
    </row>
    <row r="66" spans="1:5" ht="14" x14ac:dyDescent="0.3">
      <c r="A66" s="13">
        <v>62</v>
      </c>
      <c r="B66" s="14" t="s">
        <v>1131</v>
      </c>
      <c r="C66" s="14" t="s">
        <v>21</v>
      </c>
      <c r="D66" s="14" t="s">
        <v>23</v>
      </c>
      <c r="E66" s="14">
        <v>4</v>
      </c>
    </row>
    <row r="67" spans="1:5" ht="14" x14ac:dyDescent="0.3">
      <c r="A67" s="11">
        <v>63</v>
      </c>
      <c r="B67" s="12" t="s">
        <v>721</v>
      </c>
      <c r="C67" s="12" t="s">
        <v>21</v>
      </c>
      <c r="D67" s="12" t="s">
        <v>23</v>
      </c>
      <c r="E67" s="12">
        <v>6</v>
      </c>
    </row>
    <row r="68" spans="1:5" ht="14" x14ac:dyDescent="0.3">
      <c r="A68" s="13">
        <v>64</v>
      </c>
      <c r="B68" s="14" t="s">
        <v>814</v>
      </c>
      <c r="C68" s="14" t="s">
        <v>21</v>
      </c>
      <c r="D68" s="14" t="s">
        <v>23</v>
      </c>
      <c r="E68" s="14">
        <v>8</v>
      </c>
    </row>
    <row r="69" spans="1:5" ht="14" x14ac:dyDescent="0.3">
      <c r="A69" s="11">
        <v>65</v>
      </c>
      <c r="B69" s="12" t="s">
        <v>1294</v>
      </c>
      <c r="C69" s="12" t="s">
        <v>21</v>
      </c>
      <c r="D69" s="12" t="s">
        <v>23</v>
      </c>
      <c r="E69" s="12">
        <v>8</v>
      </c>
    </row>
    <row r="70" spans="1:5" ht="14" x14ac:dyDescent="0.3">
      <c r="A70" s="13">
        <v>66</v>
      </c>
      <c r="B70" s="14" t="s">
        <v>1339</v>
      </c>
      <c r="C70" s="14" t="s">
        <v>21</v>
      </c>
      <c r="D70" s="14" t="s">
        <v>23</v>
      </c>
      <c r="E70" s="14">
        <v>8</v>
      </c>
    </row>
    <row r="71" spans="1:5" ht="14" x14ac:dyDescent="0.3">
      <c r="A71" s="11">
        <v>67</v>
      </c>
      <c r="B71" s="12" t="s">
        <v>80</v>
      </c>
      <c r="C71" s="12" t="s">
        <v>21</v>
      </c>
      <c r="D71" s="12" t="s">
        <v>23</v>
      </c>
      <c r="E71" s="12">
        <v>12</v>
      </c>
    </row>
    <row r="72" spans="1:5" ht="14" x14ac:dyDescent="0.3">
      <c r="A72" s="13">
        <v>68</v>
      </c>
      <c r="B72" s="14" t="s">
        <v>501</v>
      </c>
      <c r="C72" s="14" t="s">
        <v>21</v>
      </c>
      <c r="D72" s="14" t="s">
        <v>23</v>
      </c>
      <c r="E72" s="14">
        <v>4</v>
      </c>
    </row>
    <row r="73" spans="1:5" ht="14" x14ac:dyDescent="0.3">
      <c r="A73" s="11">
        <v>69</v>
      </c>
      <c r="B73" s="12" t="s">
        <v>632</v>
      </c>
      <c r="C73" s="12" t="s">
        <v>21</v>
      </c>
      <c r="D73" s="12" t="s">
        <v>23</v>
      </c>
      <c r="E73" s="12">
        <v>2</v>
      </c>
    </row>
    <row r="74" spans="1:5" ht="14" x14ac:dyDescent="0.3">
      <c r="A74" s="13">
        <v>70</v>
      </c>
      <c r="B74" s="14" t="s">
        <v>52</v>
      </c>
      <c r="C74" s="14" t="s">
        <v>21</v>
      </c>
      <c r="D74" s="14" t="s">
        <v>23</v>
      </c>
      <c r="E74" s="14">
        <v>2</v>
      </c>
    </row>
    <row r="75" spans="1:5" ht="14" x14ac:dyDescent="0.3">
      <c r="A75" s="11">
        <v>71</v>
      </c>
      <c r="B75" s="12" t="s">
        <v>33</v>
      </c>
      <c r="C75" s="12" t="s">
        <v>21</v>
      </c>
      <c r="D75" s="12" t="s">
        <v>23</v>
      </c>
      <c r="E75" s="12">
        <v>2</v>
      </c>
    </row>
    <row r="76" spans="1:5" ht="14" x14ac:dyDescent="0.3">
      <c r="A76" s="13">
        <v>72</v>
      </c>
      <c r="B76" s="14" t="s">
        <v>581</v>
      </c>
      <c r="C76" s="14" t="s">
        <v>21</v>
      </c>
      <c r="D76" s="14" t="s">
        <v>23</v>
      </c>
      <c r="E76" s="14">
        <v>4</v>
      </c>
    </row>
    <row r="77" spans="1:5" ht="14" x14ac:dyDescent="0.3">
      <c r="A77" s="11">
        <v>73</v>
      </c>
      <c r="B77" s="12" t="s">
        <v>1115</v>
      </c>
      <c r="C77" s="12" t="s">
        <v>17</v>
      </c>
      <c r="D77" s="12" t="s">
        <v>18</v>
      </c>
      <c r="E77" s="12">
        <v>5</v>
      </c>
    </row>
    <row r="78" spans="1:5" ht="14" x14ac:dyDescent="0.3">
      <c r="A78" s="13">
        <v>74</v>
      </c>
      <c r="B78" s="14" t="s">
        <v>435</v>
      </c>
      <c r="C78" s="14" t="s">
        <v>17</v>
      </c>
      <c r="D78" s="14" t="s">
        <v>18</v>
      </c>
      <c r="E78" s="14">
        <v>2</v>
      </c>
    </row>
    <row r="79" spans="1:5" ht="14" x14ac:dyDescent="0.3"/>
    <row r="80" spans="1:5" ht="14" x14ac:dyDescent="0.3"/>
    <row r="81" ht="14" x14ac:dyDescent="0.3"/>
    <row r="82" ht="14" x14ac:dyDescent="0.3"/>
    <row r="83" ht="14" x14ac:dyDescent="0.3"/>
    <row r="84" ht="14" x14ac:dyDescent="0.3"/>
    <row r="85" ht="14" x14ac:dyDescent="0.3"/>
    <row r="86" ht="14" x14ac:dyDescent="0.3"/>
    <row r="87" ht="14" x14ac:dyDescent="0.3"/>
    <row r="88" ht="14" x14ac:dyDescent="0.3"/>
    <row r="89" ht="14" x14ac:dyDescent="0.3"/>
    <row r="90" ht="14" x14ac:dyDescent="0.3"/>
    <row r="91" ht="14" x14ac:dyDescent="0.3"/>
    <row r="92" ht="14" x14ac:dyDescent="0.3"/>
    <row r="93" ht="14" x14ac:dyDescent="0.3"/>
    <row r="94" ht="14" x14ac:dyDescent="0.3"/>
    <row r="95" ht="14" x14ac:dyDescent="0.3"/>
    <row r="96" ht="14" x14ac:dyDescent="0.3"/>
    <row r="97" ht="14" x14ac:dyDescent="0.3"/>
    <row r="98" ht="14" x14ac:dyDescent="0.3"/>
    <row r="99" ht="14" x14ac:dyDescent="0.3"/>
    <row r="100" ht="14" x14ac:dyDescent="0.3"/>
    <row r="101" ht="14" x14ac:dyDescent="0.3"/>
    <row r="102" ht="14" x14ac:dyDescent="0.3"/>
    <row r="103" ht="14" x14ac:dyDescent="0.3"/>
    <row r="104" ht="14" x14ac:dyDescent="0.3"/>
    <row r="105" ht="14" x14ac:dyDescent="0.3"/>
    <row r="106" ht="14" x14ac:dyDescent="0.3"/>
    <row r="107" ht="14" x14ac:dyDescent="0.3"/>
    <row r="108" ht="14" x14ac:dyDescent="0.3"/>
    <row r="109" ht="14" x14ac:dyDescent="0.3"/>
    <row r="110" ht="14" x14ac:dyDescent="0.3"/>
    <row r="111" ht="14" x14ac:dyDescent="0.3"/>
    <row r="112" ht="14" x14ac:dyDescent="0.3"/>
    <row r="113" ht="14" x14ac:dyDescent="0.3"/>
    <row r="114" ht="14" x14ac:dyDescent="0.3"/>
    <row r="115" ht="14" x14ac:dyDescent="0.3"/>
    <row r="116" ht="14" x14ac:dyDescent="0.3"/>
    <row r="117" ht="14" x14ac:dyDescent="0.3"/>
    <row r="118" ht="14" x14ac:dyDescent="0.3"/>
    <row r="119" ht="14" x14ac:dyDescent="0.3"/>
    <row r="120" ht="14" x14ac:dyDescent="0.3"/>
    <row r="121" ht="14" x14ac:dyDescent="0.3"/>
    <row r="122" ht="14" x14ac:dyDescent="0.3"/>
    <row r="123" ht="14" x14ac:dyDescent="0.3"/>
    <row r="124" ht="14" x14ac:dyDescent="0.3"/>
    <row r="125" ht="14" x14ac:dyDescent="0.3"/>
    <row r="126" ht="14" x14ac:dyDescent="0.3"/>
    <row r="127" ht="14" x14ac:dyDescent="0.3"/>
    <row r="128" ht="14" x14ac:dyDescent="0.3"/>
    <row r="129" ht="14" x14ac:dyDescent="0.3"/>
    <row r="130" ht="14" x14ac:dyDescent="0.3"/>
    <row r="131" ht="14" x14ac:dyDescent="0.3"/>
    <row r="132" ht="14" x14ac:dyDescent="0.3"/>
    <row r="133" ht="14" x14ac:dyDescent="0.3"/>
    <row r="134" ht="14" x14ac:dyDescent="0.3"/>
    <row r="135" ht="14" x14ac:dyDescent="0.3"/>
    <row r="136" ht="14" x14ac:dyDescent="0.3"/>
    <row r="137" ht="14" x14ac:dyDescent="0.3"/>
    <row r="138" ht="14" x14ac:dyDescent="0.3"/>
    <row r="139" ht="14" x14ac:dyDescent="0.3"/>
    <row r="140" ht="14" x14ac:dyDescent="0.3"/>
    <row r="141" ht="14" x14ac:dyDescent="0.3"/>
    <row r="142" ht="14" x14ac:dyDescent="0.3"/>
    <row r="143" ht="14" x14ac:dyDescent="0.3"/>
    <row r="144" ht="14" x14ac:dyDescent="0.3"/>
    <row r="145" ht="14" x14ac:dyDescent="0.3"/>
    <row r="146" ht="14" x14ac:dyDescent="0.3"/>
    <row r="147" ht="14" x14ac:dyDescent="0.3"/>
    <row r="148" ht="14" x14ac:dyDescent="0.3"/>
    <row r="149" ht="14" x14ac:dyDescent="0.3"/>
    <row r="150" ht="14" x14ac:dyDescent="0.3"/>
    <row r="151" ht="14" x14ac:dyDescent="0.3"/>
    <row r="152" ht="14" x14ac:dyDescent="0.3"/>
    <row r="153" ht="14" x14ac:dyDescent="0.3"/>
    <row r="154" ht="14" x14ac:dyDescent="0.3"/>
    <row r="155" ht="14" x14ac:dyDescent="0.3"/>
    <row r="156" ht="14" x14ac:dyDescent="0.3"/>
    <row r="157" ht="14" x14ac:dyDescent="0.3"/>
    <row r="158" ht="14" x14ac:dyDescent="0.3"/>
    <row r="159" ht="14" x14ac:dyDescent="0.3"/>
    <row r="160" ht="14" x14ac:dyDescent="0.3"/>
    <row r="161" ht="14" x14ac:dyDescent="0.3"/>
    <row r="162" ht="14" x14ac:dyDescent="0.3"/>
    <row r="163" ht="14" x14ac:dyDescent="0.3"/>
    <row r="164" ht="14" x14ac:dyDescent="0.3"/>
    <row r="165" ht="14" x14ac:dyDescent="0.3"/>
    <row r="166" ht="14" x14ac:dyDescent="0.3"/>
    <row r="167" ht="14" x14ac:dyDescent="0.3"/>
    <row r="168" ht="14" x14ac:dyDescent="0.3"/>
    <row r="169" ht="14" x14ac:dyDescent="0.3"/>
    <row r="170" ht="14" x14ac:dyDescent="0.3"/>
    <row r="171" ht="14" x14ac:dyDescent="0.3"/>
    <row r="172" ht="14" x14ac:dyDescent="0.3"/>
    <row r="173" ht="14" x14ac:dyDescent="0.3"/>
    <row r="174" ht="14" x14ac:dyDescent="0.3"/>
    <row r="175" ht="14" x14ac:dyDescent="0.3"/>
    <row r="176" ht="14" x14ac:dyDescent="0.3"/>
    <row r="177" ht="14" x14ac:dyDescent="0.3"/>
    <row r="178" ht="14" x14ac:dyDescent="0.3"/>
    <row r="179" ht="14" x14ac:dyDescent="0.3"/>
    <row r="180" ht="14" x14ac:dyDescent="0.3"/>
    <row r="181" ht="14" x14ac:dyDescent="0.3"/>
    <row r="182" ht="14" x14ac:dyDescent="0.3"/>
    <row r="183" ht="14" x14ac:dyDescent="0.3"/>
    <row r="184" ht="14" x14ac:dyDescent="0.3"/>
    <row r="185" ht="14" x14ac:dyDescent="0.3"/>
    <row r="186" ht="14" x14ac:dyDescent="0.3"/>
    <row r="187" ht="14" x14ac:dyDescent="0.3"/>
    <row r="188" ht="14" x14ac:dyDescent="0.3"/>
    <row r="189" ht="14" x14ac:dyDescent="0.3"/>
    <row r="190" ht="14" x14ac:dyDescent="0.3"/>
    <row r="191" ht="14" x14ac:dyDescent="0.3"/>
    <row r="192" ht="14" x14ac:dyDescent="0.3"/>
    <row r="193" ht="14" x14ac:dyDescent="0.3"/>
    <row r="194" ht="14" x14ac:dyDescent="0.3"/>
    <row r="195" ht="14" x14ac:dyDescent="0.3"/>
    <row r="196" ht="14" x14ac:dyDescent="0.3"/>
    <row r="197" ht="14" x14ac:dyDescent="0.3"/>
    <row r="198" ht="14" x14ac:dyDescent="0.3"/>
    <row r="199" ht="14" x14ac:dyDescent="0.3"/>
    <row r="200" ht="14" x14ac:dyDescent="0.3"/>
    <row r="201" ht="14" x14ac:dyDescent="0.3"/>
    <row r="202" ht="14" x14ac:dyDescent="0.3"/>
    <row r="203" ht="14" x14ac:dyDescent="0.3"/>
    <row r="204" ht="14" x14ac:dyDescent="0.3"/>
    <row r="205" ht="14" x14ac:dyDescent="0.3"/>
    <row r="206" ht="14" x14ac:dyDescent="0.3"/>
    <row r="207" ht="14" x14ac:dyDescent="0.3"/>
    <row r="208" ht="14" x14ac:dyDescent="0.3"/>
    <row r="209" ht="14" x14ac:dyDescent="0.3"/>
    <row r="210" ht="14" x14ac:dyDescent="0.3"/>
    <row r="211" ht="14" x14ac:dyDescent="0.3"/>
    <row r="212" ht="14" x14ac:dyDescent="0.3"/>
    <row r="213" ht="14" x14ac:dyDescent="0.3"/>
    <row r="214" ht="14" x14ac:dyDescent="0.3"/>
    <row r="215" ht="14" x14ac:dyDescent="0.3"/>
    <row r="216" ht="14" x14ac:dyDescent="0.3"/>
    <row r="217" ht="14" x14ac:dyDescent="0.3"/>
    <row r="218" ht="14" x14ac:dyDescent="0.3"/>
    <row r="219" ht="14" x14ac:dyDescent="0.3"/>
    <row r="220" ht="14" x14ac:dyDescent="0.3"/>
    <row r="221" ht="14" x14ac:dyDescent="0.3"/>
    <row r="222" ht="14" x14ac:dyDescent="0.3"/>
    <row r="223" ht="14" x14ac:dyDescent="0.3"/>
    <row r="224" ht="14" x14ac:dyDescent="0.3"/>
    <row r="225" ht="14" x14ac:dyDescent="0.3"/>
    <row r="226" ht="14" x14ac:dyDescent="0.3"/>
    <row r="227" ht="14" x14ac:dyDescent="0.3"/>
    <row r="228" ht="14" x14ac:dyDescent="0.3"/>
    <row r="229" ht="14" x14ac:dyDescent="0.3"/>
    <row r="230" ht="14" x14ac:dyDescent="0.3"/>
    <row r="231" ht="14" x14ac:dyDescent="0.3"/>
    <row r="232" ht="14" x14ac:dyDescent="0.3"/>
    <row r="233" ht="14" x14ac:dyDescent="0.3"/>
    <row r="234" ht="14" x14ac:dyDescent="0.3"/>
    <row r="235" ht="14" x14ac:dyDescent="0.3"/>
    <row r="236" ht="14" x14ac:dyDescent="0.3"/>
    <row r="237" ht="14" x14ac:dyDescent="0.3"/>
    <row r="238" ht="14" x14ac:dyDescent="0.3"/>
    <row r="239" ht="14" x14ac:dyDescent="0.3"/>
    <row r="240" ht="14" x14ac:dyDescent="0.3"/>
    <row r="241" ht="14" x14ac:dyDescent="0.3"/>
    <row r="242" ht="14" x14ac:dyDescent="0.3"/>
    <row r="243" ht="14" x14ac:dyDescent="0.3"/>
    <row r="244" ht="14" x14ac:dyDescent="0.3"/>
    <row r="245" ht="14" x14ac:dyDescent="0.3"/>
    <row r="246" ht="14" x14ac:dyDescent="0.3"/>
    <row r="247" ht="14" x14ac:dyDescent="0.3"/>
    <row r="248" ht="14" x14ac:dyDescent="0.3"/>
    <row r="249" ht="14" x14ac:dyDescent="0.3"/>
    <row r="250" ht="14" x14ac:dyDescent="0.3"/>
    <row r="251" ht="14" x14ac:dyDescent="0.3"/>
    <row r="252" ht="14" x14ac:dyDescent="0.3"/>
    <row r="253" ht="14" x14ac:dyDescent="0.3"/>
    <row r="254" ht="14" x14ac:dyDescent="0.3"/>
    <row r="255" ht="14" x14ac:dyDescent="0.3"/>
    <row r="256" ht="14" x14ac:dyDescent="0.3"/>
    <row r="257" ht="14" x14ac:dyDescent="0.3"/>
    <row r="258" ht="14" x14ac:dyDescent="0.3"/>
    <row r="259" ht="14" x14ac:dyDescent="0.3"/>
    <row r="260" ht="14" x14ac:dyDescent="0.3"/>
    <row r="261" ht="14" x14ac:dyDescent="0.3"/>
    <row r="262" ht="14" x14ac:dyDescent="0.3"/>
    <row r="263" ht="14" x14ac:dyDescent="0.3"/>
    <row r="264" ht="14" x14ac:dyDescent="0.3"/>
    <row r="265" ht="14" x14ac:dyDescent="0.3"/>
    <row r="266" ht="14" x14ac:dyDescent="0.3"/>
    <row r="267" ht="14" x14ac:dyDescent="0.3"/>
    <row r="268" ht="14" x14ac:dyDescent="0.3"/>
    <row r="269" ht="14" x14ac:dyDescent="0.3"/>
    <row r="270" ht="14" x14ac:dyDescent="0.3"/>
    <row r="271" ht="14" x14ac:dyDescent="0.3"/>
    <row r="272" ht="14" x14ac:dyDescent="0.3"/>
    <row r="273" ht="14" x14ac:dyDescent="0.3"/>
    <row r="274" ht="14" x14ac:dyDescent="0.3"/>
    <row r="275" ht="14" x14ac:dyDescent="0.3"/>
    <row r="276" ht="14" x14ac:dyDescent="0.3"/>
    <row r="277" ht="14" x14ac:dyDescent="0.3"/>
    <row r="278" ht="14" x14ac:dyDescent="0.3"/>
    <row r="279" ht="14" x14ac:dyDescent="0.3"/>
    <row r="280" ht="14" x14ac:dyDescent="0.3"/>
    <row r="281" ht="14" x14ac:dyDescent="0.3"/>
    <row r="282" ht="14" x14ac:dyDescent="0.3"/>
    <row r="283" ht="14" x14ac:dyDescent="0.3"/>
    <row r="284" ht="14" x14ac:dyDescent="0.3"/>
    <row r="285" ht="14" x14ac:dyDescent="0.3"/>
    <row r="286" ht="14" x14ac:dyDescent="0.3"/>
    <row r="287" ht="14" x14ac:dyDescent="0.3"/>
    <row r="288" ht="14" x14ac:dyDescent="0.3"/>
    <row r="289" ht="14" x14ac:dyDescent="0.3"/>
    <row r="290" ht="14" x14ac:dyDescent="0.3"/>
    <row r="291" ht="14" x14ac:dyDescent="0.3"/>
    <row r="292" ht="14" x14ac:dyDescent="0.3"/>
    <row r="293" ht="14" x14ac:dyDescent="0.3"/>
    <row r="294" ht="14" x14ac:dyDescent="0.3"/>
    <row r="295" ht="14" x14ac:dyDescent="0.3"/>
    <row r="296" ht="14" x14ac:dyDescent="0.3"/>
    <row r="297" ht="14" x14ac:dyDescent="0.3"/>
    <row r="298" ht="14" x14ac:dyDescent="0.3"/>
    <row r="299" ht="14" x14ac:dyDescent="0.3"/>
    <row r="300" ht="14" x14ac:dyDescent="0.3"/>
    <row r="301" ht="14" x14ac:dyDescent="0.3"/>
    <row r="302" ht="14" x14ac:dyDescent="0.3"/>
    <row r="303" ht="14" x14ac:dyDescent="0.3"/>
    <row r="304" ht="14" x14ac:dyDescent="0.3"/>
    <row r="305" ht="14" x14ac:dyDescent="0.3"/>
    <row r="306" ht="14" x14ac:dyDescent="0.3"/>
    <row r="307" ht="14" x14ac:dyDescent="0.3"/>
    <row r="308" ht="14" x14ac:dyDescent="0.3"/>
    <row r="309" ht="14" x14ac:dyDescent="0.3"/>
    <row r="310" ht="14" x14ac:dyDescent="0.3"/>
    <row r="311" ht="14" x14ac:dyDescent="0.3"/>
    <row r="312" ht="14" x14ac:dyDescent="0.3"/>
    <row r="313" ht="14" x14ac:dyDescent="0.3"/>
    <row r="314" ht="14" x14ac:dyDescent="0.3"/>
    <row r="315" ht="14" x14ac:dyDescent="0.3"/>
    <row r="316" ht="14" x14ac:dyDescent="0.3"/>
    <row r="317" ht="14" x14ac:dyDescent="0.3"/>
    <row r="318" ht="14" x14ac:dyDescent="0.3"/>
    <row r="319" ht="14" x14ac:dyDescent="0.3"/>
    <row r="320" ht="14" x14ac:dyDescent="0.3"/>
    <row r="321" ht="14" x14ac:dyDescent="0.3"/>
    <row r="322" ht="14" x14ac:dyDescent="0.3"/>
    <row r="323" ht="14" x14ac:dyDescent="0.3"/>
    <row r="324" ht="14" x14ac:dyDescent="0.3"/>
    <row r="325" ht="14" x14ac:dyDescent="0.3"/>
    <row r="326" ht="14" x14ac:dyDescent="0.3"/>
    <row r="327" ht="14" x14ac:dyDescent="0.3"/>
    <row r="328" ht="14" x14ac:dyDescent="0.3"/>
    <row r="329" ht="14" x14ac:dyDescent="0.3"/>
    <row r="330" ht="14" x14ac:dyDescent="0.3"/>
    <row r="331" ht="14" x14ac:dyDescent="0.3"/>
    <row r="332" ht="14" x14ac:dyDescent="0.3"/>
    <row r="333" ht="14" x14ac:dyDescent="0.3"/>
    <row r="334" ht="14" x14ac:dyDescent="0.3"/>
    <row r="335" ht="14" x14ac:dyDescent="0.3"/>
    <row r="336" ht="14" x14ac:dyDescent="0.3"/>
    <row r="337" ht="14" x14ac:dyDescent="0.3"/>
    <row r="338" ht="14" x14ac:dyDescent="0.3"/>
    <row r="339" ht="14" x14ac:dyDescent="0.3"/>
    <row r="340" ht="14" x14ac:dyDescent="0.3"/>
    <row r="341" ht="14" x14ac:dyDescent="0.3"/>
    <row r="342" ht="14" x14ac:dyDescent="0.3"/>
    <row r="343" ht="14" x14ac:dyDescent="0.3"/>
    <row r="344" ht="14" x14ac:dyDescent="0.3"/>
    <row r="345" ht="14" x14ac:dyDescent="0.3"/>
    <row r="346" ht="14" x14ac:dyDescent="0.3"/>
    <row r="347" ht="14" x14ac:dyDescent="0.3"/>
    <row r="348" ht="14" x14ac:dyDescent="0.3"/>
    <row r="349" ht="14" x14ac:dyDescent="0.3"/>
    <row r="350" ht="14" x14ac:dyDescent="0.3"/>
    <row r="351" ht="14" x14ac:dyDescent="0.3"/>
    <row r="352" ht="14" x14ac:dyDescent="0.3"/>
    <row r="353" ht="14" x14ac:dyDescent="0.3"/>
    <row r="354" ht="14" x14ac:dyDescent="0.3"/>
    <row r="355" ht="14" x14ac:dyDescent="0.3"/>
    <row r="356" ht="14" x14ac:dyDescent="0.3"/>
    <row r="357" ht="14" x14ac:dyDescent="0.3"/>
    <row r="358" ht="14" x14ac:dyDescent="0.3"/>
    <row r="359" ht="14" x14ac:dyDescent="0.3"/>
    <row r="360" ht="14" x14ac:dyDescent="0.3"/>
    <row r="361" ht="14" x14ac:dyDescent="0.3"/>
    <row r="362" ht="14" x14ac:dyDescent="0.3"/>
    <row r="363" ht="14" x14ac:dyDescent="0.3"/>
    <row r="364" ht="14" x14ac:dyDescent="0.3"/>
    <row r="365" ht="14" x14ac:dyDescent="0.3"/>
    <row r="366" ht="14" x14ac:dyDescent="0.3"/>
    <row r="367" ht="14" x14ac:dyDescent="0.3"/>
    <row r="368" ht="14" x14ac:dyDescent="0.3"/>
    <row r="369" ht="14" x14ac:dyDescent="0.3"/>
    <row r="370" ht="14" x14ac:dyDescent="0.3"/>
    <row r="371" ht="14" x14ac:dyDescent="0.3"/>
    <row r="372" ht="14" x14ac:dyDescent="0.3"/>
    <row r="373" ht="14" x14ac:dyDescent="0.3"/>
    <row r="374" ht="14" x14ac:dyDescent="0.3"/>
    <row r="375" ht="14" x14ac:dyDescent="0.3"/>
    <row r="376" ht="14" x14ac:dyDescent="0.3"/>
    <row r="377" ht="14" x14ac:dyDescent="0.3"/>
    <row r="378" ht="14" x14ac:dyDescent="0.3"/>
    <row r="379" ht="14" x14ac:dyDescent="0.3"/>
    <row r="380" ht="14" x14ac:dyDescent="0.3"/>
    <row r="381" ht="14" x14ac:dyDescent="0.3"/>
    <row r="382" ht="14" x14ac:dyDescent="0.3"/>
    <row r="383" ht="14" x14ac:dyDescent="0.3"/>
    <row r="384" ht="14" x14ac:dyDescent="0.3"/>
    <row r="385" ht="14" x14ac:dyDescent="0.3"/>
    <row r="386" ht="14" x14ac:dyDescent="0.3"/>
    <row r="387" ht="14" x14ac:dyDescent="0.3"/>
    <row r="388" ht="14" x14ac:dyDescent="0.3"/>
    <row r="389" ht="14" x14ac:dyDescent="0.3"/>
    <row r="390" ht="14" x14ac:dyDescent="0.3"/>
    <row r="391" ht="14" x14ac:dyDescent="0.3"/>
    <row r="392" ht="14" x14ac:dyDescent="0.3"/>
    <row r="393" ht="14" x14ac:dyDescent="0.3"/>
    <row r="394" ht="14" x14ac:dyDescent="0.3"/>
    <row r="395" ht="14" x14ac:dyDescent="0.3"/>
    <row r="396" ht="14" x14ac:dyDescent="0.3"/>
    <row r="397" ht="14" x14ac:dyDescent="0.3"/>
    <row r="398" ht="14" x14ac:dyDescent="0.3"/>
    <row r="399" ht="14" x14ac:dyDescent="0.3"/>
    <row r="400" ht="14" x14ac:dyDescent="0.3"/>
    <row r="401" ht="14" x14ac:dyDescent="0.3"/>
    <row r="402" ht="14" x14ac:dyDescent="0.3"/>
    <row r="403" ht="14" x14ac:dyDescent="0.3"/>
    <row r="404" ht="14" x14ac:dyDescent="0.3"/>
    <row r="405" ht="14" x14ac:dyDescent="0.3"/>
    <row r="406" ht="14" x14ac:dyDescent="0.3"/>
    <row r="407" ht="14" x14ac:dyDescent="0.3"/>
    <row r="408" ht="14" x14ac:dyDescent="0.3"/>
    <row r="409" ht="14" x14ac:dyDescent="0.3"/>
    <row r="410" ht="14" x14ac:dyDescent="0.3"/>
    <row r="411" ht="14" x14ac:dyDescent="0.3"/>
    <row r="412" ht="14" x14ac:dyDescent="0.3"/>
    <row r="413" ht="14" x14ac:dyDescent="0.3"/>
    <row r="414" ht="14" x14ac:dyDescent="0.3"/>
    <row r="415" ht="14" x14ac:dyDescent="0.3"/>
    <row r="416" ht="14" x14ac:dyDescent="0.3"/>
    <row r="417" ht="14" x14ac:dyDescent="0.3"/>
    <row r="418" ht="14" x14ac:dyDescent="0.3"/>
    <row r="419" ht="14" x14ac:dyDescent="0.3"/>
    <row r="420" ht="14" x14ac:dyDescent="0.3"/>
    <row r="421" ht="14" x14ac:dyDescent="0.3"/>
    <row r="422" ht="14" x14ac:dyDescent="0.3"/>
    <row r="423" ht="14" x14ac:dyDescent="0.3"/>
    <row r="424" ht="14" x14ac:dyDescent="0.3"/>
    <row r="425" ht="14" x14ac:dyDescent="0.3"/>
    <row r="426" ht="14" x14ac:dyDescent="0.3"/>
    <row r="427" ht="14" x14ac:dyDescent="0.3"/>
    <row r="428" ht="14" x14ac:dyDescent="0.3"/>
    <row r="429" ht="14" x14ac:dyDescent="0.3"/>
    <row r="430" ht="14" x14ac:dyDescent="0.3"/>
    <row r="431" ht="14" x14ac:dyDescent="0.3"/>
    <row r="432" ht="14" x14ac:dyDescent="0.3"/>
    <row r="433" ht="14" x14ac:dyDescent="0.3"/>
    <row r="434" ht="14" x14ac:dyDescent="0.3"/>
    <row r="435" ht="14" x14ac:dyDescent="0.3"/>
    <row r="436" ht="14" x14ac:dyDescent="0.3"/>
    <row r="437" ht="14" x14ac:dyDescent="0.3"/>
    <row r="438" ht="14" x14ac:dyDescent="0.3"/>
    <row r="439" ht="14" x14ac:dyDescent="0.3"/>
    <row r="440" ht="14" x14ac:dyDescent="0.3"/>
    <row r="441" ht="14" x14ac:dyDescent="0.3"/>
    <row r="442" ht="14" x14ac:dyDescent="0.3"/>
    <row r="443" ht="14" x14ac:dyDescent="0.3"/>
    <row r="444" ht="14" x14ac:dyDescent="0.3"/>
    <row r="445" ht="14" x14ac:dyDescent="0.3"/>
    <row r="446" ht="14" x14ac:dyDescent="0.3"/>
    <row r="447" ht="14" x14ac:dyDescent="0.3"/>
    <row r="448" ht="14" x14ac:dyDescent="0.3"/>
    <row r="449" ht="14" x14ac:dyDescent="0.3"/>
    <row r="450" ht="14" x14ac:dyDescent="0.3"/>
    <row r="451" ht="14" x14ac:dyDescent="0.3"/>
    <row r="452" ht="14" x14ac:dyDescent="0.3"/>
    <row r="453" ht="14" x14ac:dyDescent="0.3"/>
    <row r="454" ht="14" x14ac:dyDescent="0.3"/>
    <row r="455" ht="14" x14ac:dyDescent="0.3"/>
    <row r="456" ht="14" x14ac:dyDescent="0.3"/>
    <row r="457" ht="14" x14ac:dyDescent="0.3"/>
    <row r="458" ht="14" x14ac:dyDescent="0.3"/>
    <row r="459" ht="14" x14ac:dyDescent="0.3"/>
    <row r="460" ht="14" x14ac:dyDescent="0.3"/>
    <row r="461" ht="14" x14ac:dyDescent="0.3"/>
    <row r="462" ht="14" x14ac:dyDescent="0.3"/>
    <row r="463" ht="14" x14ac:dyDescent="0.3"/>
    <row r="464" ht="14" x14ac:dyDescent="0.3"/>
    <row r="465" ht="14" x14ac:dyDescent="0.3"/>
    <row r="466" ht="14" x14ac:dyDescent="0.3"/>
    <row r="467" ht="14" x14ac:dyDescent="0.3"/>
    <row r="468" ht="14" x14ac:dyDescent="0.3"/>
    <row r="469" ht="14" x14ac:dyDescent="0.3"/>
    <row r="470" ht="14" x14ac:dyDescent="0.3"/>
    <row r="471" ht="14" x14ac:dyDescent="0.3"/>
    <row r="472" ht="14" x14ac:dyDescent="0.3"/>
    <row r="473" ht="14" x14ac:dyDescent="0.3"/>
    <row r="474" ht="14" x14ac:dyDescent="0.3"/>
    <row r="475" ht="14" x14ac:dyDescent="0.3"/>
    <row r="476" ht="14" x14ac:dyDescent="0.3"/>
    <row r="477" ht="14" x14ac:dyDescent="0.3"/>
    <row r="478" ht="14" x14ac:dyDescent="0.3"/>
    <row r="479" ht="14" x14ac:dyDescent="0.3"/>
    <row r="480" ht="14" x14ac:dyDescent="0.3"/>
    <row r="481" ht="14" x14ac:dyDescent="0.3"/>
    <row r="482" ht="14" x14ac:dyDescent="0.3"/>
    <row r="483" ht="14" x14ac:dyDescent="0.3"/>
    <row r="484" ht="14" x14ac:dyDescent="0.3"/>
    <row r="485" ht="14" x14ac:dyDescent="0.3"/>
    <row r="486" ht="14" x14ac:dyDescent="0.3"/>
    <row r="487" ht="14" x14ac:dyDescent="0.3"/>
    <row r="488" ht="14" x14ac:dyDescent="0.3"/>
    <row r="489" ht="14" x14ac:dyDescent="0.3"/>
    <row r="490" ht="14" x14ac:dyDescent="0.3"/>
    <row r="491" ht="14" x14ac:dyDescent="0.3"/>
    <row r="492" ht="14" x14ac:dyDescent="0.3"/>
    <row r="493" ht="14" x14ac:dyDescent="0.3"/>
    <row r="494" ht="14" x14ac:dyDescent="0.3"/>
    <row r="495" ht="14" x14ac:dyDescent="0.3"/>
    <row r="496" ht="14" x14ac:dyDescent="0.3"/>
    <row r="497" ht="14" x14ac:dyDescent="0.3"/>
    <row r="498" ht="14" x14ac:dyDescent="0.3"/>
    <row r="499" ht="14" x14ac:dyDescent="0.3"/>
    <row r="500" ht="14" x14ac:dyDescent="0.3"/>
    <row r="501" ht="14" x14ac:dyDescent="0.3"/>
    <row r="502" ht="14" x14ac:dyDescent="0.3"/>
    <row r="503" ht="14" x14ac:dyDescent="0.3"/>
    <row r="504" ht="14" x14ac:dyDescent="0.3"/>
    <row r="505" ht="14" x14ac:dyDescent="0.3"/>
    <row r="506" ht="14" x14ac:dyDescent="0.3"/>
    <row r="507" ht="14" x14ac:dyDescent="0.3"/>
    <row r="508" ht="14" x14ac:dyDescent="0.3"/>
    <row r="509" ht="14" x14ac:dyDescent="0.3"/>
    <row r="510" ht="14" x14ac:dyDescent="0.3"/>
    <row r="511" ht="14" x14ac:dyDescent="0.3"/>
    <row r="512" ht="14" x14ac:dyDescent="0.3"/>
    <row r="513" ht="14" x14ac:dyDescent="0.3"/>
    <row r="514" ht="14" x14ac:dyDescent="0.3"/>
    <row r="515" ht="14" x14ac:dyDescent="0.3"/>
    <row r="516" ht="14" x14ac:dyDescent="0.3"/>
    <row r="517" ht="14" x14ac:dyDescent="0.3"/>
    <row r="518" ht="14" x14ac:dyDescent="0.3"/>
    <row r="519" ht="14" x14ac:dyDescent="0.3"/>
    <row r="520" ht="14" x14ac:dyDescent="0.3"/>
    <row r="521" ht="14" x14ac:dyDescent="0.3"/>
    <row r="522" ht="14" x14ac:dyDescent="0.3"/>
    <row r="523" ht="14" x14ac:dyDescent="0.3"/>
    <row r="524" ht="14" x14ac:dyDescent="0.3"/>
    <row r="525" ht="14" x14ac:dyDescent="0.3"/>
    <row r="526" ht="14" x14ac:dyDescent="0.3"/>
    <row r="527" ht="14" x14ac:dyDescent="0.3"/>
    <row r="528" ht="14" x14ac:dyDescent="0.3"/>
    <row r="529" ht="14" x14ac:dyDescent="0.3"/>
    <row r="530" ht="14" x14ac:dyDescent="0.3"/>
    <row r="531" ht="14" x14ac:dyDescent="0.3"/>
    <row r="532" ht="14" x14ac:dyDescent="0.3"/>
    <row r="533" ht="14" x14ac:dyDescent="0.3"/>
    <row r="534" ht="14" x14ac:dyDescent="0.3"/>
    <row r="535" ht="14" x14ac:dyDescent="0.3"/>
    <row r="536" ht="14" x14ac:dyDescent="0.3"/>
    <row r="537" ht="14" x14ac:dyDescent="0.3"/>
    <row r="538" ht="14" x14ac:dyDescent="0.3"/>
    <row r="539" ht="14" x14ac:dyDescent="0.3"/>
    <row r="540" ht="14" x14ac:dyDescent="0.3"/>
    <row r="541" ht="14" x14ac:dyDescent="0.3"/>
    <row r="542" ht="14" x14ac:dyDescent="0.3"/>
    <row r="543" ht="14" x14ac:dyDescent="0.3"/>
    <row r="544" ht="14" x14ac:dyDescent="0.3"/>
    <row r="545" ht="14" x14ac:dyDescent="0.3"/>
    <row r="546" ht="14" x14ac:dyDescent="0.3"/>
    <row r="547" ht="14" x14ac:dyDescent="0.3"/>
    <row r="548" ht="14" x14ac:dyDescent="0.3"/>
    <row r="549" ht="14" x14ac:dyDescent="0.3"/>
    <row r="550" ht="14" x14ac:dyDescent="0.3"/>
    <row r="551" ht="14" x14ac:dyDescent="0.3"/>
    <row r="552" ht="14" x14ac:dyDescent="0.3"/>
    <row r="553" ht="14" x14ac:dyDescent="0.3"/>
    <row r="554" ht="14" x14ac:dyDescent="0.3"/>
    <row r="555" ht="14" x14ac:dyDescent="0.3"/>
    <row r="556" ht="14" x14ac:dyDescent="0.3"/>
    <row r="557" ht="14" x14ac:dyDescent="0.3"/>
    <row r="558" ht="14" x14ac:dyDescent="0.3"/>
    <row r="559" ht="14" x14ac:dyDescent="0.3"/>
    <row r="560" ht="14" x14ac:dyDescent="0.3"/>
    <row r="561" ht="14" x14ac:dyDescent="0.3"/>
    <row r="562" ht="14" x14ac:dyDescent="0.3"/>
    <row r="563" ht="14" x14ac:dyDescent="0.3"/>
    <row r="564" ht="14" x14ac:dyDescent="0.3"/>
    <row r="565" ht="14" x14ac:dyDescent="0.3"/>
    <row r="566" ht="14" x14ac:dyDescent="0.3"/>
    <row r="567" ht="14" x14ac:dyDescent="0.3"/>
    <row r="568" ht="14" x14ac:dyDescent="0.3"/>
    <row r="569" ht="14" x14ac:dyDescent="0.3"/>
    <row r="570" ht="14" x14ac:dyDescent="0.3"/>
    <row r="571" ht="14" x14ac:dyDescent="0.3"/>
    <row r="572" ht="14" x14ac:dyDescent="0.3"/>
    <row r="573" ht="14" x14ac:dyDescent="0.3"/>
    <row r="574" ht="14" x14ac:dyDescent="0.3"/>
    <row r="575" ht="14" x14ac:dyDescent="0.3"/>
    <row r="576" ht="14" x14ac:dyDescent="0.3"/>
    <row r="577" ht="14" x14ac:dyDescent="0.3"/>
    <row r="578" ht="14" x14ac:dyDescent="0.3"/>
    <row r="579" ht="14" x14ac:dyDescent="0.3"/>
    <row r="580" ht="14" x14ac:dyDescent="0.3"/>
    <row r="581" ht="14" x14ac:dyDescent="0.3"/>
    <row r="582" ht="14" x14ac:dyDescent="0.3"/>
    <row r="583" ht="14" x14ac:dyDescent="0.3"/>
    <row r="584" ht="14" x14ac:dyDescent="0.3"/>
    <row r="585" ht="14" x14ac:dyDescent="0.3"/>
    <row r="586" ht="14" x14ac:dyDescent="0.3"/>
    <row r="587" ht="14" x14ac:dyDescent="0.3"/>
    <row r="588" ht="14" x14ac:dyDescent="0.3"/>
    <row r="589" ht="14" x14ac:dyDescent="0.3"/>
    <row r="590" ht="14" x14ac:dyDescent="0.3"/>
    <row r="591" ht="14" x14ac:dyDescent="0.3"/>
    <row r="592" ht="14" x14ac:dyDescent="0.3"/>
    <row r="593" ht="14" x14ac:dyDescent="0.3"/>
    <row r="594" ht="14" x14ac:dyDescent="0.3"/>
    <row r="595" ht="14" x14ac:dyDescent="0.3"/>
    <row r="596" ht="14" x14ac:dyDescent="0.3"/>
    <row r="597" ht="14" x14ac:dyDescent="0.3"/>
    <row r="598" ht="14" x14ac:dyDescent="0.3"/>
    <row r="599" ht="14" x14ac:dyDescent="0.3"/>
    <row r="600" ht="14" x14ac:dyDescent="0.3"/>
    <row r="601" ht="14" x14ac:dyDescent="0.3"/>
    <row r="602" ht="14" x14ac:dyDescent="0.3"/>
    <row r="603" ht="14" x14ac:dyDescent="0.3"/>
    <row r="604" ht="14" x14ac:dyDescent="0.3"/>
    <row r="605" ht="14" x14ac:dyDescent="0.3"/>
    <row r="606" ht="14" x14ac:dyDescent="0.3"/>
    <row r="607" ht="14" x14ac:dyDescent="0.3"/>
    <row r="608" ht="14" x14ac:dyDescent="0.3"/>
    <row r="609" ht="14" x14ac:dyDescent="0.3"/>
    <row r="610" ht="14" x14ac:dyDescent="0.3"/>
    <row r="611" ht="14" x14ac:dyDescent="0.3"/>
    <row r="612" ht="14" x14ac:dyDescent="0.3"/>
    <row r="613" ht="14" x14ac:dyDescent="0.3"/>
    <row r="614" ht="14" x14ac:dyDescent="0.3"/>
    <row r="615" ht="14" x14ac:dyDescent="0.3"/>
    <row r="616" ht="14" x14ac:dyDescent="0.3"/>
    <row r="617" ht="14" x14ac:dyDescent="0.3"/>
    <row r="618" ht="14" x14ac:dyDescent="0.3"/>
    <row r="619" ht="14" x14ac:dyDescent="0.3"/>
    <row r="620" ht="14" x14ac:dyDescent="0.3"/>
    <row r="621" ht="14" x14ac:dyDescent="0.3"/>
    <row r="622" ht="14" x14ac:dyDescent="0.3"/>
    <row r="623" ht="14" x14ac:dyDescent="0.3"/>
    <row r="624" ht="14" x14ac:dyDescent="0.3"/>
    <row r="625" ht="14" x14ac:dyDescent="0.3"/>
    <row r="626" ht="14" x14ac:dyDescent="0.3"/>
    <row r="627" ht="14" x14ac:dyDescent="0.3"/>
    <row r="628" ht="14" x14ac:dyDescent="0.3"/>
    <row r="629" ht="14" x14ac:dyDescent="0.3"/>
    <row r="630" ht="14" x14ac:dyDescent="0.3"/>
    <row r="631" ht="14" x14ac:dyDescent="0.3"/>
    <row r="632" ht="14" x14ac:dyDescent="0.3"/>
    <row r="633" ht="14" x14ac:dyDescent="0.3"/>
    <row r="634" ht="14" x14ac:dyDescent="0.3"/>
    <row r="635" ht="14" x14ac:dyDescent="0.3"/>
    <row r="636" ht="14" x14ac:dyDescent="0.3"/>
    <row r="637" ht="14" x14ac:dyDescent="0.3"/>
    <row r="638" ht="14" x14ac:dyDescent="0.3"/>
    <row r="639" ht="14" x14ac:dyDescent="0.3"/>
    <row r="640" ht="14" x14ac:dyDescent="0.3"/>
    <row r="641" ht="14" x14ac:dyDescent="0.3"/>
    <row r="642" ht="14" x14ac:dyDescent="0.3"/>
    <row r="643" ht="14" x14ac:dyDescent="0.3"/>
    <row r="644" ht="14" x14ac:dyDescent="0.3"/>
    <row r="645" ht="14" x14ac:dyDescent="0.3"/>
    <row r="646" ht="14" x14ac:dyDescent="0.3"/>
    <row r="647" ht="14" x14ac:dyDescent="0.3"/>
    <row r="648" ht="14" x14ac:dyDescent="0.3"/>
    <row r="649" ht="14" x14ac:dyDescent="0.3"/>
    <row r="650" ht="14" x14ac:dyDescent="0.3"/>
    <row r="651" ht="14" x14ac:dyDescent="0.3"/>
    <row r="652" ht="14" x14ac:dyDescent="0.3"/>
    <row r="653" ht="14" x14ac:dyDescent="0.3"/>
    <row r="654" ht="14" x14ac:dyDescent="0.3"/>
    <row r="655" ht="14" x14ac:dyDescent="0.3"/>
    <row r="656" ht="14" x14ac:dyDescent="0.3"/>
    <row r="657" ht="14" x14ac:dyDescent="0.3"/>
    <row r="658" ht="14" x14ac:dyDescent="0.3"/>
    <row r="659" ht="14" x14ac:dyDescent="0.3"/>
    <row r="660" ht="14" x14ac:dyDescent="0.3"/>
    <row r="661" ht="14" x14ac:dyDescent="0.3"/>
    <row r="662" ht="14" x14ac:dyDescent="0.3"/>
    <row r="663" ht="14" x14ac:dyDescent="0.3"/>
    <row r="664" ht="14" x14ac:dyDescent="0.3"/>
    <row r="665" ht="14" x14ac:dyDescent="0.3"/>
    <row r="666" ht="14" x14ac:dyDescent="0.3"/>
    <row r="667" ht="14" x14ac:dyDescent="0.3"/>
    <row r="668" ht="14" x14ac:dyDescent="0.3"/>
    <row r="669" ht="14" x14ac:dyDescent="0.3"/>
    <row r="670" ht="14" x14ac:dyDescent="0.3"/>
    <row r="671" ht="14" x14ac:dyDescent="0.3"/>
    <row r="672" ht="14" x14ac:dyDescent="0.3"/>
    <row r="673" ht="14" x14ac:dyDescent="0.3"/>
    <row r="674" ht="14" x14ac:dyDescent="0.3"/>
    <row r="675" ht="14" x14ac:dyDescent="0.3"/>
    <row r="676" ht="14" x14ac:dyDescent="0.3"/>
    <row r="677" ht="14" x14ac:dyDescent="0.3"/>
    <row r="678" ht="14" x14ac:dyDescent="0.3"/>
    <row r="679" ht="14" x14ac:dyDescent="0.3"/>
    <row r="680" ht="14" x14ac:dyDescent="0.3"/>
    <row r="681" ht="14" x14ac:dyDescent="0.3"/>
    <row r="682" ht="14" x14ac:dyDescent="0.3"/>
    <row r="683" ht="14" x14ac:dyDescent="0.3"/>
    <row r="684" ht="14" x14ac:dyDescent="0.3"/>
    <row r="685" ht="14" x14ac:dyDescent="0.3"/>
    <row r="686" ht="14" x14ac:dyDescent="0.3"/>
    <row r="687" ht="14" x14ac:dyDescent="0.3"/>
    <row r="688" ht="14" x14ac:dyDescent="0.3"/>
    <row r="689" ht="14" x14ac:dyDescent="0.3"/>
    <row r="690" ht="14" x14ac:dyDescent="0.3"/>
    <row r="691" ht="14" x14ac:dyDescent="0.3"/>
    <row r="692" ht="14" x14ac:dyDescent="0.3"/>
    <row r="693" ht="14" x14ac:dyDescent="0.3"/>
    <row r="694" ht="14" x14ac:dyDescent="0.3"/>
    <row r="695" ht="14" x14ac:dyDescent="0.3"/>
    <row r="696" ht="14" x14ac:dyDescent="0.3"/>
    <row r="697" ht="14" x14ac:dyDescent="0.3"/>
    <row r="698" ht="14" x14ac:dyDescent="0.3"/>
    <row r="699" ht="14" x14ac:dyDescent="0.3"/>
    <row r="700" ht="14" x14ac:dyDescent="0.3"/>
    <row r="701" ht="14" x14ac:dyDescent="0.3"/>
    <row r="702" ht="14" x14ac:dyDescent="0.3"/>
    <row r="703" ht="14" x14ac:dyDescent="0.3"/>
    <row r="704" ht="14" x14ac:dyDescent="0.3"/>
    <row r="705" ht="14" x14ac:dyDescent="0.3"/>
    <row r="706" ht="14" x14ac:dyDescent="0.3"/>
    <row r="707" ht="14" x14ac:dyDescent="0.3"/>
    <row r="708" ht="14" x14ac:dyDescent="0.3"/>
    <row r="709" ht="14" x14ac:dyDescent="0.3"/>
    <row r="710" ht="14" x14ac:dyDescent="0.3"/>
    <row r="711" ht="14" x14ac:dyDescent="0.3"/>
    <row r="712" ht="14" x14ac:dyDescent="0.3"/>
    <row r="713" ht="14" x14ac:dyDescent="0.3"/>
    <row r="714" ht="14" x14ac:dyDescent="0.3"/>
    <row r="715" ht="14" x14ac:dyDescent="0.3"/>
    <row r="716" ht="14" x14ac:dyDescent="0.3"/>
    <row r="717" ht="14" x14ac:dyDescent="0.3"/>
    <row r="718" ht="14" x14ac:dyDescent="0.3"/>
    <row r="719" ht="14" x14ac:dyDescent="0.3"/>
    <row r="720" ht="14" x14ac:dyDescent="0.3"/>
    <row r="721" ht="14" x14ac:dyDescent="0.3"/>
    <row r="722" ht="14" x14ac:dyDescent="0.3"/>
    <row r="723" ht="14" x14ac:dyDescent="0.3"/>
    <row r="724" ht="14" x14ac:dyDescent="0.3"/>
    <row r="725" ht="14" x14ac:dyDescent="0.3"/>
    <row r="726" ht="14" x14ac:dyDescent="0.3"/>
    <row r="727" ht="14" x14ac:dyDescent="0.3"/>
    <row r="728" ht="14" x14ac:dyDescent="0.3"/>
    <row r="729" ht="14" x14ac:dyDescent="0.3"/>
    <row r="730" ht="14" x14ac:dyDescent="0.3"/>
    <row r="731" ht="14" x14ac:dyDescent="0.3"/>
    <row r="732" ht="14" x14ac:dyDescent="0.3"/>
    <row r="733" ht="14" x14ac:dyDescent="0.3"/>
    <row r="734" ht="14" x14ac:dyDescent="0.3"/>
    <row r="735" ht="14" x14ac:dyDescent="0.3"/>
    <row r="736" ht="14" x14ac:dyDescent="0.3"/>
    <row r="737" ht="14" x14ac:dyDescent="0.3"/>
    <row r="738" ht="14" x14ac:dyDescent="0.3"/>
    <row r="739" ht="14" x14ac:dyDescent="0.3"/>
    <row r="740" ht="14" x14ac:dyDescent="0.3"/>
    <row r="741" ht="14" x14ac:dyDescent="0.3"/>
    <row r="742" ht="14" x14ac:dyDescent="0.3"/>
    <row r="743" ht="14" x14ac:dyDescent="0.3"/>
    <row r="744" ht="14" x14ac:dyDescent="0.3"/>
    <row r="745" ht="14" x14ac:dyDescent="0.3"/>
    <row r="746" ht="14" x14ac:dyDescent="0.3"/>
    <row r="747" ht="14" x14ac:dyDescent="0.3"/>
    <row r="748" ht="14" x14ac:dyDescent="0.3"/>
    <row r="749" ht="14" x14ac:dyDescent="0.3"/>
    <row r="750" ht="14" x14ac:dyDescent="0.3"/>
    <row r="751" ht="14" x14ac:dyDescent="0.3"/>
    <row r="752" ht="14" x14ac:dyDescent="0.3"/>
    <row r="753" ht="14" x14ac:dyDescent="0.3"/>
    <row r="754" ht="14" x14ac:dyDescent="0.3"/>
    <row r="755" ht="14" x14ac:dyDescent="0.3"/>
    <row r="756" ht="14" x14ac:dyDescent="0.3"/>
    <row r="757" ht="14" x14ac:dyDescent="0.3"/>
    <row r="758" ht="14" x14ac:dyDescent="0.3"/>
    <row r="759" ht="14" x14ac:dyDescent="0.3"/>
    <row r="760" ht="14" x14ac:dyDescent="0.3"/>
    <row r="761" ht="14" x14ac:dyDescent="0.3"/>
    <row r="762" ht="14" x14ac:dyDescent="0.3"/>
    <row r="763" ht="14" x14ac:dyDescent="0.3"/>
    <row r="764" ht="14" x14ac:dyDescent="0.3"/>
    <row r="765" ht="14" x14ac:dyDescent="0.3"/>
    <row r="766" ht="14" x14ac:dyDescent="0.3"/>
    <row r="767" ht="14" x14ac:dyDescent="0.3"/>
    <row r="768" ht="14" x14ac:dyDescent="0.3"/>
    <row r="769" ht="14" x14ac:dyDescent="0.3"/>
    <row r="770" ht="14" x14ac:dyDescent="0.3"/>
    <row r="771" ht="14" x14ac:dyDescent="0.3"/>
    <row r="772" ht="14" x14ac:dyDescent="0.3"/>
    <row r="773" ht="14" x14ac:dyDescent="0.3"/>
    <row r="774" ht="14" x14ac:dyDescent="0.3"/>
    <row r="775" ht="14" x14ac:dyDescent="0.3"/>
    <row r="776" ht="14" x14ac:dyDescent="0.3"/>
    <row r="777" ht="14" x14ac:dyDescent="0.3"/>
    <row r="778" ht="14" x14ac:dyDescent="0.3"/>
    <row r="779" ht="14" x14ac:dyDescent="0.3"/>
    <row r="780" ht="14" x14ac:dyDescent="0.3"/>
    <row r="781" ht="14" x14ac:dyDescent="0.3"/>
    <row r="782" ht="14" x14ac:dyDescent="0.3"/>
    <row r="783" ht="14" x14ac:dyDescent="0.3"/>
    <row r="784" ht="14" x14ac:dyDescent="0.3"/>
    <row r="785" ht="14" x14ac:dyDescent="0.3"/>
    <row r="786" ht="14" x14ac:dyDescent="0.3"/>
    <row r="787" ht="14" x14ac:dyDescent="0.3"/>
    <row r="788" ht="14" x14ac:dyDescent="0.3"/>
    <row r="789" ht="14" x14ac:dyDescent="0.3"/>
    <row r="790" ht="14" x14ac:dyDescent="0.3"/>
    <row r="791" ht="14" x14ac:dyDescent="0.3"/>
    <row r="792" ht="14" x14ac:dyDescent="0.3"/>
    <row r="793" ht="14" x14ac:dyDescent="0.3"/>
    <row r="794" ht="14" x14ac:dyDescent="0.3"/>
    <row r="795" ht="14" x14ac:dyDescent="0.3"/>
    <row r="796" ht="14" x14ac:dyDescent="0.3"/>
    <row r="797" ht="14" x14ac:dyDescent="0.3"/>
    <row r="798" ht="14" x14ac:dyDescent="0.3"/>
    <row r="799" ht="14" x14ac:dyDescent="0.3"/>
    <row r="800" ht="14" x14ac:dyDescent="0.3"/>
    <row r="801" ht="14" x14ac:dyDescent="0.3"/>
    <row r="802" ht="14" x14ac:dyDescent="0.3"/>
    <row r="803" ht="14" x14ac:dyDescent="0.3"/>
    <row r="804" ht="14" x14ac:dyDescent="0.3"/>
    <row r="805" ht="14" x14ac:dyDescent="0.3"/>
    <row r="806" ht="14" x14ac:dyDescent="0.3"/>
    <row r="807" ht="14" x14ac:dyDescent="0.3"/>
    <row r="808" ht="14" x14ac:dyDescent="0.3"/>
    <row r="809" ht="14" x14ac:dyDescent="0.3"/>
    <row r="810" ht="14" x14ac:dyDescent="0.3"/>
    <row r="811" ht="14" x14ac:dyDescent="0.3"/>
    <row r="812" ht="14" x14ac:dyDescent="0.3"/>
    <row r="813" ht="14" x14ac:dyDescent="0.3"/>
    <row r="814" ht="14" x14ac:dyDescent="0.3"/>
    <row r="815" ht="14" x14ac:dyDescent="0.3"/>
    <row r="816" ht="14" x14ac:dyDescent="0.3"/>
    <row r="817" ht="14" x14ac:dyDescent="0.3"/>
    <row r="818" ht="14" x14ac:dyDescent="0.3"/>
    <row r="819" ht="14" x14ac:dyDescent="0.3"/>
    <row r="820" ht="14" x14ac:dyDescent="0.3"/>
    <row r="821" ht="14" x14ac:dyDescent="0.3"/>
    <row r="822" ht="14" x14ac:dyDescent="0.3"/>
    <row r="823" ht="14" x14ac:dyDescent="0.3"/>
    <row r="824" ht="14" x14ac:dyDescent="0.3"/>
    <row r="825" ht="14" x14ac:dyDescent="0.3"/>
    <row r="826" ht="14" x14ac:dyDescent="0.3"/>
    <row r="827" ht="14" x14ac:dyDescent="0.3"/>
    <row r="828" ht="14" x14ac:dyDescent="0.3"/>
    <row r="829" ht="14" x14ac:dyDescent="0.3"/>
    <row r="830" ht="14" x14ac:dyDescent="0.3"/>
    <row r="831" ht="14" x14ac:dyDescent="0.3"/>
    <row r="832" ht="14" x14ac:dyDescent="0.3"/>
    <row r="833" ht="14" x14ac:dyDescent="0.3"/>
    <row r="834" ht="14" x14ac:dyDescent="0.3"/>
    <row r="835" ht="14" x14ac:dyDescent="0.3"/>
    <row r="836" ht="14" x14ac:dyDescent="0.3"/>
    <row r="837" ht="14" x14ac:dyDescent="0.3"/>
    <row r="838" ht="14" x14ac:dyDescent="0.3"/>
    <row r="839" ht="14" x14ac:dyDescent="0.3"/>
    <row r="840" ht="14" x14ac:dyDescent="0.3"/>
    <row r="841" ht="14" x14ac:dyDescent="0.3"/>
    <row r="842" ht="14" x14ac:dyDescent="0.3"/>
    <row r="843" ht="14" x14ac:dyDescent="0.3"/>
    <row r="844" ht="14" x14ac:dyDescent="0.3"/>
    <row r="845" ht="14" x14ac:dyDescent="0.3"/>
    <row r="846" ht="14" x14ac:dyDescent="0.3"/>
    <row r="847" ht="14" x14ac:dyDescent="0.3"/>
    <row r="848" ht="14" x14ac:dyDescent="0.3"/>
    <row r="849" ht="14" x14ac:dyDescent="0.3"/>
    <row r="850" ht="14" x14ac:dyDescent="0.3"/>
    <row r="851" ht="14" x14ac:dyDescent="0.3"/>
    <row r="852" ht="14" x14ac:dyDescent="0.3"/>
    <row r="853" ht="14" x14ac:dyDescent="0.3"/>
    <row r="854" ht="14" x14ac:dyDescent="0.3"/>
    <row r="855" ht="14" x14ac:dyDescent="0.3"/>
    <row r="856" ht="14" x14ac:dyDescent="0.3"/>
    <row r="857" ht="14" x14ac:dyDescent="0.3"/>
    <row r="858" ht="14" x14ac:dyDescent="0.3"/>
    <row r="859" ht="14" x14ac:dyDescent="0.3"/>
    <row r="860" ht="14" x14ac:dyDescent="0.3"/>
    <row r="861" ht="14" x14ac:dyDescent="0.3"/>
    <row r="862" ht="14" x14ac:dyDescent="0.3"/>
    <row r="863" ht="14" x14ac:dyDescent="0.3"/>
    <row r="864" ht="14" x14ac:dyDescent="0.3"/>
    <row r="865" ht="14" x14ac:dyDescent="0.3"/>
    <row r="866" ht="14" x14ac:dyDescent="0.3"/>
    <row r="867" ht="14" x14ac:dyDescent="0.3"/>
    <row r="868" ht="14" x14ac:dyDescent="0.3"/>
    <row r="869" ht="14" x14ac:dyDescent="0.3"/>
    <row r="870" ht="14" x14ac:dyDescent="0.3"/>
    <row r="871" ht="14" x14ac:dyDescent="0.3"/>
    <row r="872" ht="14" x14ac:dyDescent="0.3"/>
    <row r="873" ht="14" x14ac:dyDescent="0.3"/>
    <row r="874" ht="14" x14ac:dyDescent="0.3"/>
    <row r="875" ht="14" x14ac:dyDescent="0.3"/>
    <row r="876" ht="14" x14ac:dyDescent="0.3"/>
    <row r="877" ht="14" x14ac:dyDescent="0.3"/>
    <row r="878" ht="14" x14ac:dyDescent="0.3"/>
    <row r="879" ht="14" x14ac:dyDescent="0.3"/>
    <row r="880" ht="14" x14ac:dyDescent="0.3"/>
    <row r="881" ht="14" x14ac:dyDescent="0.3"/>
    <row r="882" ht="14" x14ac:dyDescent="0.3"/>
    <row r="883" ht="14" x14ac:dyDescent="0.3"/>
    <row r="884" ht="14" x14ac:dyDescent="0.3"/>
    <row r="885" ht="14" x14ac:dyDescent="0.3"/>
    <row r="886" ht="14" x14ac:dyDescent="0.3"/>
    <row r="887" ht="14" x14ac:dyDescent="0.3"/>
    <row r="888" ht="14" x14ac:dyDescent="0.3"/>
    <row r="889" ht="14" x14ac:dyDescent="0.3"/>
    <row r="890" ht="14" x14ac:dyDescent="0.3"/>
    <row r="891" ht="14" x14ac:dyDescent="0.3"/>
    <row r="892" ht="14" x14ac:dyDescent="0.3"/>
    <row r="893" ht="14" x14ac:dyDescent="0.3"/>
    <row r="894" ht="14" x14ac:dyDescent="0.3"/>
    <row r="895" ht="14" x14ac:dyDescent="0.3"/>
    <row r="896" ht="14" x14ac:dyDescent="0.3"/>
    <row r="897" ht="14" x14ac:dyDescent="0.3"/>
    <row r="898" ht="14" x14ac:dyDescent="0.3"/>
    <row r="899" ht="14" x14ac:dyDescent="0.3"/>
    <row r="900" ht="14" x14ac:dyDescent="0.3"/>
    <row r="901" ht="14" x14ac:dyDescent="0.3"/>
    <row r="902" ht="14" x14ac:dyDescent="0.3"/>
    <row r="903" ht="14" x14ac:dyDescent="0.3"/>
    <row r="904" ht="14" x14ac:dyDescent="0.3"/>
    <row r="905" ht="14" x14ac:dyDescent="0.3"/>
    <row r="906" ht="14" x14ac:dyDescent="0.3"/>
    <row r="907" ht="14" x14ac:dyDescent="0.3"/>
    <row r="908" ht="14" x14ac:dyDescent="0.3"/>
    <row r="909" ht="14" x14ac:dyDescent="0.3"/>
    <row r="910" ht="14" x14ac:dyDescent="0.3"/>
    <row r="911" ht="14" x14ac:dyDescent="0.3"/>
    <row r="912" ht="14" x14ac:dyDescent="0.3"/>
    <row r="913" ht="14" x14ac:dyDescent="0.3"/>
    <row r="914" ht="14" x14ac:dyDescent="0.3"/>
    <row r="915" ht="14" x14ac:dyDescent="0.3"/>
    <row r="916" ht="14" x14ac:dyDescent="0.3"/>
    <row r="917" ht="14" x14ac:dyDescent="0.3"/>
    <row r="918" ht="14" x14ac:dyDescent="0.3"/>
    <row r="919" ht="14" x14ac:dyDescent="0.3"/>
    <row r="920" ht="14" x14ac:dyDescent="0.3"/>
    <row r="921" ht="14" x14ac:dyDescent="0.3"/>
    <row r="922" ht="14" x14ac:dyDescent="0.3"/>
    <row r="923" ht="14" x14ac:dyDescent="0.3"/>
    <row r="924" ht="14" x14ac:dyDescent="0.3"/>
    <row r="925" ht="14" x14ac:dyDescent="0.3"/>
    <row r="926" ht="14" x14ac:dyDescent="0.3"/>
    <row r="927" ht="14" x14ac:dyDescent="0.3"/>
    <row r="928" ht="14" x14ac:dyDescent="0.3"/>
    <row r="929" ht="14" x14ac:dyDescent="0.3"/>
    <row r="930" ht="14" x14ac:dyDescent="0.3"/>
    <row r="931" ht="14" x14ac:dyDescent="0.3"/>
    <row r="932" ht="14" x14ac:dyDescent="0.3"/>
    <row r="933" ht="14" x14ac:dyDescent="0.3"/>
    <row r="934" ht="14" x14ac:dyDescent="0.3"/>
    <row r="935" ht="14" x14ac:dyDescent="0.3"/>
    <row r="936" ht="14" x14ac:dyDescent="0.3"/>
    <row r="937" ht="14" x14ac:dyDescent="0.3"/>
    <row r="938" ht="14" x14ac:dyDescent="0.3"/>
    <row r="939" ht="14" x14ac:dyDescent="0.3"/>
    <row r="940" ht="14" x14ac:dyDescent="0.3"/>
    <row r="941" ht="14" x14ac:dyDescent="0.3"/>
    <row r="942" ht="14" x14ac:dyDescent="0.3"/>
    <row r="943" ht="14" x14ac:dyDescent="0.3"/>
    <row r="944" ht="14" x14ac:dyDescent="0.3"/>
    <row r="945" ht="14" x14ac:dyDescent="0.3"/>
    <row r="946" ht="14" x14ac:dyDescent="0.3"/>
    <row r="947" ht="14" x14ac:dyDescent="0.3"/>
    <row r="948" ht="14" x14ac:dyDescent="0.3"/>
    <row r="949" ht="14" x14ac:dyDescent="0.3"/>
    <row r="950" ht="14" x14ac:dyDescent="0.3"/>
    <row r="951" ht="14" x14ac:dyDescent="0.3"/>
    <row r="952" ht="14" x14ac:dyDescent="0.3"/>
    <row r="953" ht="14" x14ac:dyDescent="0.3"/>
    <row r="954" ht="14" x14ac:dyDescent="0.3"/>
    <row r="955" ht="14" x14ac:dyDescent="0.3"/>
    <row r="956" ht="14" x14ac:dyDescent="0.3"/>
    <row r="957" ht="14" x14ac:dyDescent="0.3"/>
    <row r="958" ht="14" x14ac:dyDescent="0.3"/>
    <row r="959" ht="14" x14ac:dyDescent="0.3"/>
    <row r="960" ht="14" x14ac:dyDescent="0.3"/>
    <row r="961" ht="14" x14ac:dyDescent="0.3"/>
    <row r="962" ht="14" x14ac:dyDescent="0.3"/>
    <row r="963" ht="14" x14ac:dyDescent="0.3"/>
    <row r="964" ht="14" x14ac:dyDescent="0.3"/>
    <row r="965" ht="14" x14ac:dyDescent="0.3"/>
    <row r="966" ht="14" x14ac:dyDescent="0.3"/>
    <row r="967" ht="14" x14ac:dyDescent="0.3"/>
    <row r="968" ht="14" x14ac:dyDescent="0.3"/>
    <row r="969" ht="14" x14ac:dyDescent="0.3"/>
    <row r="970" ht="14" x14ac:dyDescent="0.3"/>
    <row r="971" ht="14" x14ac:dyDescent="0.3"/>
    <row r="972" ht="14" x14ac:dyDescent="0.3"/>
    <row r="973" ht="14" x14ac:dyDescent="0.3"/>
    <row r="974" ht="14" x14ac:dyDescent="0.3"/>
    <row r="975" ht="14" x14ac:dyDescent="0.3"/>
    <row r="976" ht="14" x14ac:dyDescent="0.3"/>
    <row r="977" ht="14" x14ac:dyDescent="0.3"/>
    <row r="978" ht="14" x14ac:dyDescent="0.3"/>
    <row r="979" ht="14" x14ac:dyDescent="0.3"/>
    <row r="980" ht="14" x14ac:dyDescent="0.3"/>
    <row r="981" ht="14" x14ac:dyDescent="0.3"/>
    <row r="982" ht="14" x14ac:dyDescent="0.3"/>
    <row r="983" ht="14" x14ac:dyDescent="0.3"/>
    <row r="984" ht="14" x14ac:dyDescent="0.3"/>
    <row r="985" ht="14" x14ac:dyDescent="0.3"/>
    <row r="986" ht="14" x14ac:dyDescent="0.3"/>
    <row r="987" ht="14" x14ac:dyDescent="0.3"/>
    <row r="988" ht="14" x14ac:dyDescent="0.3"/>
    <row r="989" ht="14" x14ac:dyDescent="0.3"/>
    <row r="990" ht="14" x14ac:dyDescent="0.3"/>
    <row r="991" ht="14" x14ac:dyDescent="0.3"/>
    <row r="992" ht="14" x14ac:dyDescent="0.3"/>
    <row r="993" ht="14" x14ac:dyDescent="0.3"/>
    <row r="994" ht="14" x14ac:dyDescent="0.3"/>
    <row r="995" ht="14" x14ac:dyDescent="0.3"/>
    <row r="996" ht="14" x14ac:dyDescent="0.3"/>
    <row r="997" ht="14" x14ac:dyDescent="0.3"/>
    <row r="998" ht="14" x14ac:dyDescent="0.3"/>
  </sheetData>
  <autoFilter ref="A4:H28" xr:uid="{00000000-0009-0000-0000-000026000000}">
    <sortState xmlns:xlrd2="http://schemas.microsoft.com/office/spreadsheetml/2017/richdata2" ref="A5:H28">
      <sortCondition ref="A4:A28"/>
    </sortState>
  </autoFilter>
  <mergeCells count="2">
    <mergeCell ref="A1:H1"/>
    <mergeCell ref="A2:H2"/>
  </mergeCells>
  <conditionalFormatting sqref="G5:G28">
    <cfRule type="expression" dxfId="104" priority="1">
      <formula>G5="OUT OF STOCK"</formula>
    </cfRule>
    <cfRule type="expression" dxfId="103" priority="2">
      <formula>G5="REORDER"</formula>
    </cfRule>
    <cfRule type="expression" dxfId="10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J997"/>
  <sheetViews>
    <sheetView showGridLines="0" workbookViewId="0">
      <pane ySplit="3" topLeftCell="A4" activePane="bottomLeft" state="frozen"/>
      <selection pane="bottomLeft" activeCell="D8" sqref="D8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9.4" customHeight="1" x14ac:dyDescent="0.3">
      <c r="A1" s="24" t="s">
        <v>158</v>
      </c>
      <c r="B1" s="24"/>
      <c r="C1" s="24"/>
      <c r="D1" s="24"/>
      <c r="E1" s="24"/>
      <c r="F1" s="24"/>
      <c r="G1" s="24"/>
      <c r="H1" s="24"/>
      <c r="I1" s="3"/>
      <c r="J1" s="4"/>
    </row>
    <row r="2" spans="1:10" ht="14" x14ac:dyDescent="0.3">
      <c r="A2" s="3"/>
      <c r="B2" s="3"/>
    </row>
    <row r="3" spans="1:10" ht="14" x14ac:dyDescent="0.3">
      <c r="A3" s="6" t="s">
        <v>12</v>
      </c>
      <c r="B3" s="6" t="s">
        <v>5</v>
      </c>
      <c r="C3" s="6" t="s">
        <v>9</v>
      </c>
      <c r="D3" s="6" t="s">
        <v>10</v>
      </c>
      <c r="E3" s="6" t="s">
        <v>15</v>
      </c>
      <c r="F3" s="6" t="s">
        <v>11</v>
      </c>
      <c r="G3" s="6" t="s">
        <v>14</v>
      </c>
      <c r="H3" s="6" t="s">
        <v>13</v>
      </c>
      <c r="I3" s="3"/>
      <c r="J3" s="3"/>
    </row>
    <row r="4" spans="1:10" ht="14" x14ac:dyDescent="0.3">
      <c r="A4" s="7">
        <v>1</v>
      </c>
      <c r="B4" s="7" t="s">
        <v>916</v>
      </c>
      <c r="C4" s="7" t="s">
        <v>917</v>
      </c>
      <c r="D4" s="7" t="s">
        <v>918</v>
      </c>
      <c r="E4" s="7">
        <v>2</v>
      </c>
      <c r="F4" s="7" t="str">
        <f t="array" ref="F4">IFERROR(_xlfn.XLOOKUP(B4,#REF!,#REF!,""),"")</f>
        <v/>
      </c>
      <c r="G4" s="7" t="str">
        <f t="array" ref="G4">IFERROR(_xlfn.XLOOKUP(B4,#REF!,#REF!,""),"")</f>
        <v/>
      </c>
      <c r="H4" s="7" t="str">
        <f t="array" ref="H4">IFERROR(_xlfn.XLOOKUP(B4,#REF!,#REF!,""),"")</f>
        <v/>
      </c>
      <c r="I4" s="3"/>
      <c r="J4" s="3"/>
    </row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autoFilter ref="A3:H4" xr:uid="{00000000-0009-0000-0000-000027000000}">
    <sortState xmlns:xlrd2="http://schemas.microsoft.com/office/spreadsheetml/2017/richdata2" ref="A4:H4">
      <sortCondition ref="A3:A4"/>
    </sortState>
  </autoFilter>
  <mergeCells count="1">
    <mergeCell ref="A1:H1"/>
  </mergeCells>
  <conditionalFormatting sqref="G4">
    <cfRule type="expression" dxfId="101" priority="1">
      <formula>G4="OUT OF STOCK"</formula>
    </cfRule>
    <cfRule type="expression" dxfId="100" priority="2">
      <formula>G4="REORDER"</formula>
    </cfRule>
    <cfRule type="expression" dxfId="99" priority="3">
      <formula>G4="OK"</formula>
    </cfRule>
  </conditionalFormatting>
  <pageMargins left="0.25" right="0.25" top="0.4" bottom="0.4" header="0" footer="0"/>
  <pageSetup fitToHeight="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10" sqref="D10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5.75" customHeight="1" x14ac:dyDescent="0.3">
      <c r="A1" s="24" t="s">
        <v>160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161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987</v>
      </c>
      <c r="C5" s="7" t="s">
        <v>297</v>
      </c>
      <c r="D5" s="7" t="s">
        <v>82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991</v>
      </c>
      <c r="C6" s="8" t="s">
        <v>81</v>
      </c>
      <c r="D6" s="8" t="s">
        <v>82</v>
      </c>
      <c r="E6" s="8">
        <v>2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988</v>
      </c>
      <c r="C7" s="7" t="s">
        <v>989</v>
      </c>
      <c r="D7" s="7" t="s">
        <v>990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985</v>
      </c>
      <c r="C8" s="8" t="s">
        <v>212</v>
      </c>
      <c r="D8" s="8" t="s">
        <v>214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983</v>
      </c>
      <c r="C9" s="7" t="s">
        <v>212</v>
      </c>
      <c r="D9" s="7" t="s">
        <v>214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982</v>
      </c>
      <c r="C10" s="8" t="s">
        <v>845</v>
      </c>
      <c r="D10" s="8" t="s">
        <v>685</v>
      </c>
      <c r="E10" s="8">
        <v>2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981</v>
      </c>
      <c r="C11" s="7" t="s">
        <v>591</v>
      </c>
      <c r="D11" s="7" t="s">
        <v>523</v>
      </c>
      <c r="E11" s="7">
        <v>4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980</v>
      </c>
      <c r="C12" s="8" t="s">
        <v>377</v>
      </c>
      <c r="D12" s="8" t="s">
        <v>378</v>
      </c>
      <c r="E12" s="8">
        <v>2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979</v>
      </c>
      <c r="C13" s="7" t="s">
        <v>377</v>
      </c>
      <c r="D13" s="7" t="s">
        <v>378</v>
      </c>
      <c r="E13" s="7">
        <v>2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978</v>
      </c>
      <c r="C14" s="8" t="s">
        <v>212</v>
      </c>
      <c r="D14" s="8" t="s">
        <v>214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977</v>
      </c>
      <c r="C15" s="7" t="s">
        <v>138</v>
      </c>
      <c r="D15" s="7" t="s">
        <v>139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976</v>
      </c>
      <c r="C16" s="8" t="s">
        <v>138</v>
      </c>
      <c r="D16" s="8" t="s">
        <v>139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974</v>
      </c>
      <c r="C17" s="7" t="s">
        <v>138</v>
      </c>
      <c r="D17" s="7" t="s">
        <v>139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973</v>
      </c>
      <c r="C18" s="8" t="s">
        <v>138</v>
      </c>
      <c r="D18" s="8" t="s">
        <v>139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970</v>
      </c>
      <c r="C19" s="7" t="s">
        <v>971</v>
      </c>
      <c r="D19" s="7" t="s">
        <v>972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598</v>
      </c>
      <c r="C20" s="8" t="s">
        <v>225</v>
      </c>
      <c r="D20" s="8" t="s">
        <v>226</v>
      </c>
      <c r="E20" s="8">
        <v>2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969</v>
      </c>
      <c r="C21" s="7" t="s">
        <v>480</v>
      </c>
      <c r="D21" s="7" t="s">
        <v>482</v>
      </c>
      <c r="E21" s="7">
        <v>4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968</v>
      </c>
      <c r="C22" s="8" t="s">
        <v>480</v>
      </c>
      <c r="D22" s="8" t="s">
        <v>482</v>
      </c>
      <c r="E22" s="8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507</v>
      </c>
      <c r="C23" s="7" t="s">
        <v>43</v>
      </c>
      <c r="D23" s="7" t="s">
        <v>44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967</v>
      </c>
      <c r="C24" s="8" t="s">
        <v>542</v>
      </c>
      <c r="D24" s="8" t="s">
        <v>523</v>
      </c>
      <c r="E24" s="8">
        <v>4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966</v>
      </c>
      <c r="C25" s="7" t="s">
        <v>542</v>
      </c>
      <c r="D25" s="7" t="s">
        <v>523</v>
      </c>
      <c r="E25" s="7">
        <v>4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965</v>
      </c>
      <c r="C26" s="8" t="s">
        <v>217</v>
      </c>
      <c r="D26" s="8" t="s">
        <v>218</v>
      </c>
      <c r="E26" s="8">
        <v>5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964</v>
      </c>
      <c r="C27" s="7" t="s">
        <v>217</v>
      </c>
      <c r="D27" s="7" t="s">
        <v>218</v>
      </c>
      <c r="E27" s="7">
        <v>4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184</v>
      </c>
      <c r="C28" s="8" t="s">
        <v>31</v>
      </c>
      <c r="D28" s="8" t="s">
        <v>32</v>
      </c>
      <c r="E28" s="8">
        <v>16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201</v>
      </c>
      <c r="C29" s="7" t="s">
        <v>31</v>
      </c>
      <c r="D29" s="7" t="s">
        <v>32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29</v>
      </c>
      <c r="C30" s="8" t="s">
        <v>31</v>
      </c>
      <c r="D30" s="8" t="s">
        <v>32</v>
      </c>
      <c r="E30" s="8">
        <v>12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935</v>
      </c>
      <c r="C31" s="7" t="s">
        <v>31</v>
      </c>
      <c r="D31" s="7" t="s">
        <v>32</v>
      </c>
      <c r="E31" s="7">
        <v>8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157</v>
      </c>
      <c r="C32" s="8" t="s">
        <v>31</v>
      </c>
      <c r="D32" s="8" t="s">
        <v>32</v>
      </c>
      <c r="E32" s="8">
        <v>5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963</v>
      </c>
      <c r="C33" s="7" t="s">
        <v>31</v>
      </c>
      <c r="D33" s="7" t="s">
        <v>32</v>
      </c>
      <c r="E33" s="7">
        <v>5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95</v>
      </c>
      <c r="C34" s="8" t="s">
        <v>21</v>
      </c>
      <c r="D34" s="8" t="s">
        <v>23</v>
      </c>
      <c r="E34" s="8">
        <v>4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334</v>
      </c>
      <c r="C35" s="7" t="s">
        <v>21</v>
      </c>
      <c r="D35" s="7" t="s">
        <v>23</v>
      </c>
      <c r="E35" s="7">
        <v>6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323</v>
      </c>
      <c r="C36" s="8" t="s">
        <v>21</v>
      </c>
      <c r="D36" s="8" t="s">
        <v>23</v>
      </c>
      <c r="E36" s="8">
        <v>2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632</v>
      </c>
      <c r="C37" s="7" t="s">
        <v>21</v>
      </c>
      <c r="D37" s="7" t="s">
        <v>23</v>
      </c>
      <c r="E37" s="7">
        <v>8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52</v>
      </c>
      <c r="C38" s="8" t="s">
        <v>21</v>
      </c>
      <c r="D38" s="8" t="s">
        <v>23</v>
      </c>
      <c r="E38" s="8">
        <v>4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40</v>
      </c>
      <c r="C39" s="7" t="s">
        <v>21</v>
      </c>
      <c r="D39" s="7" t="s">
        <v>23</v>
      </c>
      <c r="E39" s="7">
        <v>1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33</v>
      </c>
      <c r="C40" s="8" t="s">
        <v>21</v>
      </c>
      <c r="D40" s="8" t="s">
        <v>23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547</v>
      </c>
      <c r="C41" s="7" t="s">
        <v>21</v>
      </c>
      <c r="D41" s="7" t="s">
        <v>23</v>
      </c>
      <c r="E41" s="7">
        <v>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1" xr:uid="{00000000-0009-0000-0000-000028000000}">
    <sortState xmlns:xlrd2="http://schemas.microsoft.com/office/spreadsheetml/2017/richdata2" ref="A5:H41">
      <sortCondition ref="A4:A41"/>
    </sortState>
  </autoFilter>
  <mergeCells count="2">
    <mergeCell ref="A1:H1"/>
    <mergeCell ref="A2:H2"/>
  </mergeCells>
  <conditionalFormatting sqref="G5:G41">
    <cfRule type="expression" dxfId="98" priority="1">
      <formula>G5="OUT OF STOCK"</formula>
    </cfRule>
    <cfRule type="expression" dxfId="97" priority="2">
      <formula>G5="REORDER"</formula>
    </cfRule>
    <cfRule type="expression" dxfId="9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3" sqref="D3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5.25" customHeight="1" x14ac:dyDescent="0.3">
      <c r="A1" s="24" t="s">
        <v>163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165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975</v>
      </c>
      <c r="C5" s="8" t="s">
        <v>272</v>
      </c>
      <c r="D5" s="8" t="s">
        <v>273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184</v>
      </c>
      <c r="C6" s="7" t="s">
        <v>31</v>
      </c>
      <c r="D6" s="7" t="s">
        <v>32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164</v>
      </c>
      <c r="C7" s="8" t="s">
        <v>31</v>
      </c>
      <c r="D7" s="8" t="s">
        <v>32</v>
      </c>
      <c r="E7" s="8">
        <v>4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632</v>
      </c>
      <c r="C8" s="7" t="s">
        <v>21</v>
      </c>
      <c r="D8" s="7" t="s">
        <v>23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8" xr:uid="{00000000-0009-0000-0000-000029000000}">
    <sortState xmlns:xlrd2="http://schemas.microsoft.com/office/spreadsheetml/2017/richdata2" ref="A5:H8">
      <sortCondition ref="A4:A8"/>
    </sortState>
  </autoFilter>
  <mergeCells count="2">
    <mergeCell ref="A1:H1"/>
    <mergeCell ref="A2:H2"/>
  </mergeCells>
  <conditionalFormatting sqref="G5:G8">
    <cfRule type="expression" dxfId="95" priority="1">
      <formula>G5="OUT OF STOCK"</formula>
    </cfRule>
    <cfRule type="expression" dxfId="94" priority="2">
      <formula>G5="REORDER"</formula>
    </cfRule>
    <cfRule type="expression" dxfId="93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10" sqref="E10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2.4" customHeight="1" x14ac:dyDescent="0.3">
      <c r="A1" s="24" t="s">
        <v>166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167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986</v>
      </c>
      <c r="C5" s="8" t="s">
        <v>971</v>
      </c>
      <c r="D5" s="8" t="s">
        <v>972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984</v>
      </c>
      <c r="C6" s="7" t="s">
        <v>971</v>
      </c>
      <c r="D6" s="7" t="s">
        <v>972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" xr:uid="{00000000-0009-0000-0000-00002A000000}">
    <sortState xmlns:xlrd2="http://schemas.microsoft.com/office/spreadsheetml/2017/richdata2" ref="A5:H6">
      <sortCondition ref="A4:A6"/>
    </sortState>
  </autoFilter>
  <mergeCells count="2">
    <mergeCell ref="A1:H1"/>
    <mergeCell ref="A2:H2"/>
  </mergeCells>
  <conditionalFormatting sqref="G5:G6">
    <cfRule type="expression" dxfId="92" priority="1">
      <formula>G5="OUT OF STOCK"</formula>
    </cfRule>
    <cfRule type="expression" dxfId="91" priority="2">
      <formula>G5="REORDER"</formula>
    </cfRule>
    <cfRule type="expression" dxfId="9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2" sqref="A2:H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75" customHeight="1" x14ac:dyDescent="0.3">
      <c r="A1" s="24" t="s">
        <v>168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169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1010</v>
      </c>
      <c r="C5" s="8" t="s">
        <v>297</v>
      </c>
      <c r="D5" s="8" t="s">
        <v>82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1013</v>
      </c>
      <c r="C6" s="7" t="s">
        <v>123</v>
      </c>
      <c r="D6" s="7" t="s">
        <v>126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1016</v>
      </c>
      <c r="C7" s="8" t="s">
        <v>384</v>
      </c>
      <c r="D7" s="8" t="s">
        <v>385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1021</v>
      </c>
      <c r="C8" s="7" t="s">
        <v>102</v>
      </c>
      <c r="D8" s="7" t="s">
        <v>24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1029</v>
      </c>
      <c r="C9" s="8" t="s">
        <v>102</v>
      </c>
      <c r="D9" s="8" t="s">
        <v>24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1033</v>
      </c>
      <c r="C10" s="7" t="s">
        <v>1034</v>
      </c>
      <c r="D10" s="7" t="s">
        <v>1035</v>
      </c>
      <c r="E10" s="7">
        <v>2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1039</v>
      </c>
      <c r="C11" s="8" t="s">
        <v>530</v>
      </c>
      <c r="D11" s="8" t="s">
        <v>531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1038</v>
      </c>
      <c r="C12" s="7" t="s">
        <v>138</v>
      </c>
      <c r="D12" s="7" t="s">
        <v>139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1032</v>
      </c>
      <c r="C13" s="8" t="s">
        <v>407</v>
      </c>
      <c r="D13" s="8" t="s">
        <v>408</v>
      </c>
      <c r="E13" s="8">
        <v>4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1030</v>
      </c>
      <c r="C14" s="7" t="s">
        <v>55</v>
      </c>
      <c r="D14" s="7" t="s">
        <v>56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1027</v>
      </c>
      <c r="C15" s="8" t="s">
        <v>138</v>
      </c>
      <c r="D15" s="8" t="s">
        <v>139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521</v>
      </c>
      <c r="C16" s="7" t="s">
        <v>522</v>
      </c>
      <c r="D16" s="7" t="s">
        <v>523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1022</v>
      </c>
      <c r="C17" s="8" t="s">
        <v>519</v>
      </c>
      <c r="D17" s="8" t="s">
        <v>520</v>
      </c>
      <c r="E17" s="8">
        <v>4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1019</v>
      </c>
      <c r="C18" s="7" t="s">
        <v>512</v>
      </c>
      <c r="D18" s="7" t="s">
        <v>513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1017</v>
      </c>
      <c r="C19" s="8" t="s">
        <v>43</v>
      </c>
      <c r="D19" s="8" t="s">
        <v>44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190</v>
      </c>
      <c r="C20" s="7" t="s">
        <v>43</v>
      </c>
      <c r="D20" s="7" t="s">
        <v>44</v>
      </c>
      <c r="E20" s="7">
        <v>8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744</v>
      </c>
      <c r="C21" s="8" t="s">
        <v>43</v>
      </c>
      <c r="D21" s="8" t="s">
        <v>44</v>
      </c>
      <c r="E21" s="8">
        <v>4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996</v>
      </c>
      <c r="C22" s="7" t="s">
        <v>217</v>
      </c>
      <c r="D22" s="7" t="s">
        <v>218</v>
      </c>
      <c r="E22" s="7">
        <v>2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965</v>
      </c>
      <c r="C23" s="8" t="s">
        <v>217</v>
      </c>
      <c r="D23" s="8" t="s">
        <v>218</v>
      </c>
      <c r="E23" s="8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459</v>
      </c>
      <c r="C24" s="7" t="s">
        <v>31</v>
      </c>
      <c r="D24" s="7" t="s">
        <v>32</v>
      </c>
      <c r="E24" s="7">
        <v>1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788</v>
      </c>
      <c r="C25" s="8" t="s">
        <v>31</v>
      </c>
      <c r="D25" s="8" t="s">
        <v>32</v>
      </c>
      <c r="E25" s="8">
        <v>2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184</v>
      </c>
      <c r="C26" s="7" t="s">
        <v>31</v>
      </c>
      <c r="D26" s="7" t="s">
        <v>32</v>
      </c>
      <c r="E26" s="7">
        <v>2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201</v>
      </c>
      <c r="C27" s="8" t="s">
        <v>31</v>
      </c>
      <c r="D27" s="8" t="s">
        <v>32</v>
      </c>
      <c r="E27" s="8">
        <v>8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539</v>
      </c>
      <c r="C28" s="7" t="s">
        <v>328</v>
      </c>
      <c r="D28" s="7" t="s">
        <v>456</v>
      </c>
      <c r="E28" s="7">
        <v>1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487</v>
      </c>
      <c r="C29" s="8" t="s">
        <v>328</v>
      </c>
      <c r="D29" s="8" t="s">
        <v>456</v>
      </c>
      <c r="E29" s="8">
        <v>1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1003</v>
      </c>
      <c r="C30" s="7" t="s">
        <v>290</v>
      </c>
      <c r="D30" s="7" t="s">
        <v>291</v>
      </c>
      <c r="E30" s="7">
        <v>1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453</v>
      </c>
      <c r="C31" s="8" t="s">
        <v>31</v>
      </c>
      <c r="D31" s="8" t="s">
        <v>32</v>
      </c>
      <c r="E31" s="8">
        <v>2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451</v>
      </c>
      <c r="C32" s="7" t="s">
        <v>31</v>
      </c>
      <c r="D32" s="7" t="s">
        <v>32</v>
      </c>
      <c r="E32" s="7">
        <v>4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173</v>
      </c>
      <c r="C33" s="8" t="s">
        <v>31</v>
      </c>
      <c r="D33" s="8" t="s">
        <v>32</v>
      </c>
      <c r="E33" s="8">
        <v>4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29</v>
      </c>
      <c r="C34" s="7" t="s">
        <v>31</v>
      </c>
      <c r="D34" s="7" t="s">
        <v>32</v>
      </c>
      <c r="E34" s="7">
        <v>8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935</v>
      </c>
      <c r="C35" s="8" t="s">
        <v>31</v>
      </c>
      <c r="D35" s="8" t="s">
        <v>32</v>
      </c>
      <c r="E35" s="8">
        <v>4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157</v>
      </c>
      <c r="C36" s="7" t="s">
        <v>31</v>
      </c>
      <c r="D36" s="7" t="s">
        <v>32</v>
      </c>
      <c r="E36" s="7">
        <v>4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734</v>
      </c>
      <c r="C37" s="8" t="s">
        <v>31</v>
      </c>
      <c r="D37" s="8" t="s">
        <v>32</v>
      </c>
      <c r="E37" s="8">
        <v>8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997</v>
      </c>
      <c r="C38" s="7" t="s">
        <v>153</v>
      </c>
      <c r="D38" s="7" t="s">
        <v>925</v>
      </c>
      <c r="E38" s="7">
        <v>2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>
      <c r="A39" s="8">
        <v>35</v>
      </c>
      <c r="B39" s="8" t="s">
        <v>995</v>
      </c>
      <c r="C39" s="8" t="s">
        <v>328</v>
      </c>
      <c r="D39" s="8" t="s">
        <v>329</v>
      </c>
      <c r="E39" s="8">
        <v>4</v>
      </c>
      <c r="F39" s="8" t="str">
        <f t="array" ref="F39">IFERROR(_xlfn.XLOOKUP(B39,#REF!,#REF!,""),"")</f>
        <v/>
      </c>
      <c r="G39" s="8" t="str">
        <f t="array" ref="G39">IFERROR(_xlfn.XLOOKUP(B39,#REF!,#REF!,""),"")</f>
        <v/>
      </c>
      <c r="H39" s="8" t="str">
        <f t="array" ref="H39">IFERROR(_xlfn.XLOOKUP(B39,#REF!,#REF!,""),"")</f>
        <v/>
      </c>
      <c r="I39" s="3"/>
      <c r="J39" s="3"/>
    </row>
    <row r="40" spans="1:10" ht="15.75" customHeight="1" x14ac:dyDescent="0.3">
      <c r="A40" s="7">
        <v>36</v>
      </c>
      <c r="B40" s="7" t="s">
        <v>994</v>
      </c>
      <c r="C40" s="7" t="s">
        <v>21</v>
      </c>
      <c r="D40" s="7" t="s">
        <v>23</v>
      </c>
      <c r="E40" s="7">
        <v>4</v>
      </c>
      <c r="F40" s="7" t="str">
        <f t="array" ref="F40">IFERROR(_xlfn.XLOOKUP(B40,#REF!,#REF!,""),"")</f>
        <v/>
      </c>
      <c r="G40" s="7" t="str">
        <f t="array" ref="G40">IFERROR(_xlfn.XLOOKUP(B40,#REF!,#REF!,""),"")</f>
        <v/>
      </c>
      <c r="H40" s="7" t="str">
        <f t="array" ref="H40">IFERROR(_xlfn.XLOOKUP(B40,#REF!,#REF!,""),"")</f>
        <v/>
      </c>
      <c r="I40" s="3"/>
      <c r="J40" s="3"/>
    </row>
    <row r="41" spans="1:10" ht="15.75" customHeight="1" x14ac:dyDescent="0.3">
      <c r="A41" s="8">
        <v>37</v>
      </c>
      <c r="B41" s="8" t="s">
        <v>720</v>
      </c>
      <c r="C41" s="8" t="s">
        <v>21</v>
      </c>
      <c r="D41" s="8" t="s">
        <v>23</v>
      </c>
      <c r="E41" s="8">
        <v>2</v>
      </c>
      <c r="F41" s="8" t="str">
        <f t="array" ref="F41">IFERROR(_xlfn.XLOOKUP(B41,#REF!,#REF!,""),"")</f>
        <v/>
      </c>
      <c r="G41" s="8" t="str">
        <f t="array" ref="G41">IFERROR(_xlfn.XLOOKUP(B41,#REF!,#REF!,""),"")</f>
        <v/>
      </c>
      <c r="H41" s="8" t="str">
        <f t="array" ref="H41">IFERROR(_xlfn.XLOOKUP(B41,#REF!,#REF!,""),"")</f>
        <v/>
      </c>
      <c r="I41" s="3"/>
      <c r="J41" s="3"/>
    </row>
    <row r="42" spans="1:10" ht="15.75" customHeight="1" x14ac:dyDescent="0.3">
      <c r="A42" s="7">
        <v>38</v>
      </c>
      <c r="B42" s="7" t="s">
        <v>993</v>
      </c>
      <c r="C42" s="7" t="s">
        <v>21</v>
      </c>
      <c r="D42" s="7" t="s">
        <v>23</v>
      </c>
      <c r="E42" s="7">
        <v>1</v>
      </c>
      <c r="F42" s="7" t="str">
        <f t="array" ref="F42">IFERROR(_xlfn.XLOOKUP(B42,#REF!,#REF!,""),"")</f>
        <v/>
      </c>
      <c r="G42" s="7" t="str">
        <f t="array" ref="G42">IFERROR(_xlfn.XLOOKUP(B42,#REF!,#REF!,""),"")</f>
        <v/>
      </c>
      <c r="H42" s="7" t="str">
        <f t="array" ref="H42">IFERROR(_xlfn.XLOOKUP(B42,#REF!,#REF!,""),"")</f>
        <v/>
      </c>
      <c r="I42" s="3"/>
      <c r="J42" s="3"/>
    </row>
    <row r="43" spans="1:10" ht="15.75" customHeight="1" x14ac:dyDescent="0.3">
      <c r="A43" s="8">
        <v>39</v>
      </c>
      <c r="B43" s="8" t="s">
        <v>501</v>
      </c>
      <c r="C43" s="8" t="s">
        <v>21</v>
      </c>
      <c r="D43" s="8" t="s">
        <v>23</v>
      </c>
      <c r="E43" s="8">
        <v>2</v>
      </c>
      <c r="F43" s="8" t="str">
        <f t="array" ref="F43">IFERROR(_xlfn.XLOOKUP(B43,#REF!,#REF!,""),"")</f>
        <v/>
      </c>
      <c r="G43" s="8" t="str">
        <f t="array" ref="G43">IFERROR(_xlfn.XLOOKUP(B43,#REF!,#REF!,""),"")</f>
        <v/>
      </c>
      <c r="H43" s="8" t="str">
        <f t="array" ref="H43">IFERROR(_xlfn.XLOOKUP(B43,#REF!,#REF!,""),"")</f>
        <v/>
      </c>
      <c r="I43" s="3"/>
      <c r="J43" s="3"/>
    </row>
    <row r="44" spans="1:10" ht="15.75" customHeight="1" x14ac:dyDescent="0.3">
      <c r="A44" s="7">
        <v>40</v>
      </c>
      <c r="B44" s="7" t="s">
        <v>33</v>
      </c>
      <c r="C44" s="7" t="s">
        <v>21</v>
      </c>
      <c r="D44" s="7" t="s">
        <v>23</v>
      </c>
      <c r="E44" s="7">
        <v>8</v>
      </c>
      <c r="F44" s="7" t="str">
        <f t="array" ref="F44">IFERROR(_xlfn.XLOOKUP(B44,#REF!,#REF!,""),"")</f>
        <v/>
      </c>
      <c r="G44" s="7" t="str">
        <f t="array" ref="G44">IFERROR(_xlfn.XLOOKUP(B44,#REF!,#REF!,""),"")</f>
        <v/>
      </c>
      <c r="H44" s="7" t="str">
        <f t="array" ref="H44">IFERROR(_xlfn.XLOOKUP(B44,#REF!,#REF!,""),"")</f>
        <v/>
      </c>
      <c r="I44" s="3"/>
      <c r="J44" s="3"/>
    </row>
    <row r="45" spans="1:10" ht="15.75" customHeight="1" x14ac:dyDescent="0.3">
      <c r="A45" s="8">
        <v>41</v>
      </c>
      <c r="B45" s="8" t="s">
        <v>992</v>
      </c>
      <c r="C45" s="8" t="s">
        <v>17</v>
      </c>
      <c r="D45" s="8" t="s">
        <v>18</v>
      </c>
      <c r="E45" s="8">
        <v>4</v>
      </c>
      <c r="F45" s="8" t="str">
        <f t="array" ref="F45">IFERROR(_xlfn.XLOOKUP(B45,#REF!,#REF!,""),"")</f>
        <v/>
      </c>
      <c r="G45" s="8" t="str">
        <f t="array" ref="G45">IFERROR(_xlfn.XLOOKUP(B45,#REF!,#REF!,""),"")</f>
        <v/>
      </c>
      <c r="H45" s="8" t="str">
        <f t="array" ref="H45">IFERROR(_xlfn.XLOOKUP(B45,#REF!,#REF!,""),"")</f>
        <v/>
      </c>
      <c r="I45" s="3"/>
      <c r="J45" s="3"/>
    </row>
    <row r="46" spans="1:10" ht="15.75" customHeight="1" x14ac:dyDescent="0.3">
      <c r="A46" s="7">
        <v>42</v>
      </c>
      <c r="B46" s="7" t="s">
        <v>435</v>
      </c>
      <c r="C46" s="7" t="s">
        <v>17</v>
      </c>
      <c r="D46" s="7" t="s">
        <v>18</v>
      </c>
      <c r="E46" s="7">
        <v>2</v>
      </c>
      <c r="F46" s="7" t="str">
        <f t="array" ref="F46">IFERROR(_xlfn.XLOOKUP(B46,#REF!,#REF!,""),"")</f>
        <v/>
      </c>
      <c r="G46" s="7" t="str">
        <f t="array" ref="G46">IFERROR(_xlfn.XLOOKUP(B46,#REF!,#REF!,""),"")</f>
        <v/>
      </c>
      <c r="H46" s="7" t="str">
        <f t="array" ref="H46">IFERROR(_xlfn.XLOOKUP(B46,#REF!,#REF!,""),"")</f>
        <v/>
      </c>
      <c r="I46" s="3"/>
      <c r="J46" s="3"/>
    </row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6" xr:uid="{00000000-0009-0000-0000-00002B000000}">
    <sortState xmlns:xlrd2="http://schemas.microsoft.com/office/spreadsheetml/2017/richdata2" ref="A5:H46">
      <sortCondition ref="A4:A46"/>
    </sortState>
  </autoFilter>
  <mergeCells count="2">
    <mergeCell ref="A1:H1"/>
    <mergeCell ref="A2:H2"/>
  </mergeCells>
  <conditionalFormatting sqref="G5:G46">
    <cfRule type="expression" dxfId="89" priority="1">
      <formula>G5="OUT OF STOCK"</formula>
    </cfRule>
    <cfRule type="expression" dxfId="88" priority="2">
      <formula>G5="REORDER"</formula>
    </cfRule>
    <cfRule type="expression" dxfId="8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2" sqref="A2:H2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6.4" customHeight="1" x14ac:dyDescent="0.3">
      <c r="A1" s="24" t="s">
        <v>171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172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999</v>
      </c>
      <c r="C5" s="7" t="s">
        <v>1000</v>
      </c>
      <c r="D5" s="7" t="s">
        <v>1001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998</v>
      </c>
      <c r="C6" s="8" t="s">
        <v>102</v>
      </c>
      <c r="D6" s="8" t="s">
        <v>24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996</v>
      </c>
      <c r="C7" s="7" t="s">
        <v>217</v>
      </c>
      <c r="D7" s="7" t="s">
        <v>218</v>
      </c>
      <c r="E7" s="7">
        <v>13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7" xr:uid="{00000000-0009-0000-0000-00002C000000}">
    <sortState xmlns:xlrd2="http://schemas.microsoft.com/office/spreadsheetml/2017/richdata2" ref="A5:H7">
      <sortCondition ref="A4:A7"/>
    </sortState>
  </autoFilter>
  <mergeCells count="2">
    <mergeCell ref="A1:H1"/>
    <mergeCell ref="A2:H2"/>
  </mergeCells>
  <conditionalFormatting sqref="G5:G7">
    <cfRule type="expression" dxfId="86" priority="1">
      <formula>G5="OUT OF STOCK"</formula>
    </cfRule>
    <cfRule type="expression" dxfId="85" priority="2">
      <formula>G5="REORDER"</formula>
    </cfRule>
    <cfRule type="expression" dxfId="8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10" sqref="D10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174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175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398</v>
      </c>
      <c r="C5" s="8" t="s">
        <v>399</v>
      </c>
      <c r="D5" s="8" t="s">
        <v>400</v>
      </c>
      <c r="E5" s="8">
        <v>4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678</v>
      </c>
      <c r="C6" s="7" t="s">
        <v>31</v>
      </c>
      <c r="D6" s="7" t="s">
        <v>32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1036</v>
      </c>
      <c r="C7" s="8" t="s">
        <v>123</v>
      </c>
      <c r="D7" s="8" t="s">
        <v>126</v>
      </c>
      <c r="E7" s="8">
        <v>2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1031</v>
      </c>
      <c r="C8" s="7" t="s">
        <v>81</v>
      </c>
      <c r="D8" s="7" t="s">
        <v>82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1028</v>
      </c>
      <c r="C9" s="8" t="s">
        <v>399</v>
      </c>
      <c r="D9" s="8" t="s">
        <v>400</v>
      </c>
      <c r="E9" s="8">
        <v>4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1025</v>
      </c>
      <c r="C10" s="7" t="s">
        <v>81</v>
      </c>
      <c r="D10" s="7" t="s">
        <v>82</v>
      </c>
      <c r="E10" s="7">
        <v>2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1023</v>
      </c>
      <c r="C11" s="8" t="s">
        <v>349</v>
      </c>
      <c r="D11" s="8" t="s">
        <v>350</v>
      </c>
      <c r="E11" s="8">
        <v>16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1020</v>
      </c>
      <c r="C12" s="7" t="s">
        <v>349</v>
      </c>
      <c r="D12" s="7" t="s">
        <v>350</v>
      </c>
      <c r="E12" s="7">
        <v>4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1018</v>
      </c>
      <c r="C13" s="8" t="s">
        <v>349</v>
      </c>
      <c r="D13" s="8" t="s">
        <v>350</v>
      </c>
      <c r="E13" s="8">
        <v>4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1015</v>
      </c>
      <c r="C14" s="7" t="s">
        <v>349</v>
      </c>
      <c r="D14" s="7" t="s">
        <v>350</v>
      </c>
      <c r="E14" s="7">
        <v>4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1012</v>
      </c>
      <c r="C15" s="8" t="s">
        <v>349</v>
      </c>
      <c r="D15" s="8" t="s">
        <v>350</v>
      </c>
      <c r="E15" s="8">
        <v>4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1011</v>
      </c>
      <c r="C16" s="7" t="s">
        <v>1005</v>
      </c>
      <c r="D16" s="7" t="s">
        <v>1006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1009</v>
      </c>
      <c r="C17" s="8" t="s">
        <v>1000</v>
      </c>
      <c r="D17" s="8" t="s">
        <v>1001</v>
      </c>
      <c r="E17" s="8">
        <v>4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1008</v>
      </c>
      <c r="C18" s="7" t="s">
        <v>138</v>
      </c>
      <c r="D18" s="7" t="s">
        <v>139</v>
      </c>
      <c r="E18" s="7">
        <v>4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1007</v>
      </c>
      <c r="C19" s="8" t="s">
        <v>1005</v>
      </c>
      <c r="D19" s="8" t="s">
        <v>1006</v>
      </c>
      <c r="E19" s="8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1004</v>
      </c>
      <c r="C20" s="7" t="s">
        <v>1005</v>
      </c>
      <c r="D20" s="7" t="s">
        <v>1006</v>
      </c>
      <c r="E20" s="7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201</v>
      </c>
      <c r="C21" s="8" t="s">
        <v>31</v>
      </c>
      <c r="D21" s="8" t="s">
        <v>32</v>
      </c>
      <c r="E21" s="8">
        <v>8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1002</v>
      </c>
      <c r="C22" s="7" t="s">
        <v>290</v>
      </c>
      <c r="D22" s="7" t="s">
        <v>291</v>
      </c>
      <c r="E22" s="7">
        <v>2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157</v>
      </c>
      <c r="C23" s="8" t="s">
        <v>31</v>
      </c>
      <c r="D23" s="8" t="s">
        <v>32</v>
      </c>
      <c r="E23" s="8">
        <v>6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817</v>
      </c>
      <c r="C24" s="7" t="s">
        <v>31</v>
      </c>
      <c r="D24" s="7" t="s">
        <v>32</v>
      </c>
      <c r="E24" s="7">
        <v>4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33</v>
      </c>
      <c r="C25" s="8" t="s">
        <v>21</v>
      </c>
      <c r="D25" s="8" t="s">
        <v>23</v>
      </c>
      <c r="E25" s="8">
        <v>6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581</v>
      </c>
      <c r="C26" s="7" t="s">
        <v>21</v>
      </c>
      <c r="D26" s="7" t="s">
        <v>23</v>
      </c>
      <c r="E26" s="7">
        <v>2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6" xr:uid="{00000000-0009-0000-0000-00002D000000}">
    <sortState xmlns:xlrd2="http://schemas.microsoft.com/office/spreadsheetml/2017/richdata2" ref="A5:H26">
      <sortCondition ref="A4:A26"/>
    </sortState>
  </autoFilter>
  <mergeCells count="2">
    <mergeCell ref="A1:H1"/>
    <mergeCell ref="A2:H2"/>
  </mergeCells>
  <conditionalFormatting sqref="G5:G26">
    <cfRule type="expression" dxfId="83" priority="1">
      <formula>G5="OUT OF STOCK"</formula>
    </cfRule>
    <cfRule type="expression" dxfId="82" priority="2">
      <formula>G5="REORDER"</formula>
    </cfRule>
    <cfRule type="expression" dxfId="8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2423-0E8D-4ECE-92BF-730E2CB50099}">
  <dimension ref="A1:J998"/>
  <sheetViews>
    <sheetView workbookViewId="0">
      <selection activeCell="D15" sqref="D15"/>
    </sheetView>
  </sheetViews>
  <sheetFormatPr defaultColWidth="14.453125" defaultRowHeight="14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" customHeight="1" x14ac:dyDescent="0.3">
      <c r="A1" s="24" t="s">
        <v>1348</v>
      </c>
      <c r="B1" s="25"/>
      <c r="C1" s="25"/>
      <c r="D1" s="25"/>
      <c r="E1" s="25"/>
      <c r="F1" s="25"/>
      <c r="G1" s="25"/>
      <c r="H1" s="26"/>
      <c r="I1" s="3"/>
      <c r="J1" s="4"/>
    </row>
    <row r="2" spans="1:10" x14ac:dyDescent="0.3">
      <c r="A2" s="27" t="s">
        <v>1349</v>
      </c>
      <c r="B2" s="28"/>
      <c r="C2" s="28"/>
      <c r="D2" s="28"/>
      <c r="E2" s="28"/>
      <c r="F2" s="28"/>
      <c r="G2" s="28"/>
      <c r="H2" s="28"/>
      <c r="I2" s="3"/>
      <c r="J2" s="3"/>
    </row>
    <row r="3" spans="1:10" x14ac:dyDescent="0.3">
      <c r="A3" s="3"/>
      <c r="B3" s="3"/>
    </row>
    <row r="4" spans="1:10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x14ac:dyDescent="0.3">
      <c r="A5" s="8">
        <v>1</v>
      </c>
      <c r="B5" s="8" t="s">
        <v>1348</v>
      </c>
      <c r="C5" s="8" t="s">
        <v>747</v>
      </c>
      <c r="D5" s="8" t="s">
        <v>748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x14ac:dyDescent="0.3">
      <c r="A6" s="7"/>
      <c r="B6" s="7"/>
      <c r="C6" s="7"/>
      <c r="D6" s="7"/>
      <c r="E6" s="7"/>
      <c r="F6" s="7"/>
      <c r="G6" s="7"/>
      <c r="H6" s="7"/>
      <c r="I6" s="3"/>
      <c r="J6" s="3"/>
    </row>
    <row r="7" spans="1:10" x14ac:dyDescent="0.3">
      <c r="A7" s="8"/>
      <c r="B7" s="8"/>
      <c r="C7" s="8"/>
      <c r="D7" s="8"/>
      <c r="E7" s="8"/>
      <c r="F7" s="8"/>
      <c r="G7" s="8"/>
      <c r="H7" s="8"/>
      <c r="I7" s="3"/>
      <c r="J7" s="3"/>
    </row>
    <row r="8" spans="1:10" x14ac:dyDescent="0.3">
      <c r="A8" s="7"/>
      <c r="B8" s="7"/>
      <c r="C8" s="7"/>
      <c r="D8" s="7"/>
      <c r="E8" s="7"/>
      <c r="F8" s="7"/>
      <c r="G8" s="7"/>
      <c r="H8" s="7"/>
      <c r="I8" s="3"/>
      <c r="J8" s="3"/>
    </row>
    <row r="9" spans="1:10" x14ac:dyDescent="0.3">
      <c r="A9" s="8"/>
      <c r="B9" s="8"/>
      <c r="C9" s="8"/>
      <c r="D9" s="8"/>
      <c r="E9" s="8"/>
      <c r="F9" s="8"/>
      <c r="G9" s="8"/>
      <c r="H9" s="8"/>
      <c r="I9" s="3"/>
      <c r="J9" s="3"/>
    </row>
    <row r="10" spans="1:10" x14ac:dyDescent="0.3">
      <c r="A10" s="7"/>
      <c r="B10" s="7"/>
      <c r="C10" s="7"/>
      <c r="D10" s="7"/>
      <c r="E10" s="7"/>
      <c r="F10" s="7"/>
      <c r="G10" s="7"/>
      <c r="H10" s="7"/>
      <c r="I10" s="3"/>
      <c r="J10" s="3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3"/>
      <c r="J11" s="3"/>
    </row>
    <row r="12" spans="1:10" x14ac:dyDescent="0.3">
      <c r="A12" s="7"/>
      <c r="B12" s="7"/>
      <c r="C12" s="7"/>
      <c r="D12" s="7"/>
      <c r="E12" s="7"/>
      <c r="F12" s="7"/>
      <c r="G12" s="7"/>
      <c r="H12" s="7"/>
      <c r="I12" s="3"/>
      <c r="J12" s="3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3"/>
      <c r="J13" s="3"/>
    </row>
    <row r="14" spans="1:10" x14ac:dyDescent="0.3">
      <c r="A14" s="7"/>
      <c r="B14" s="7"/>
      <c r="C14" s="7"/>
      <c r="D14" s="7"/>
      <c r="E14" s="7"/>
      <c r="F14" s="7"/>
      <c r="G14" s="7"/>
      <c r="H14" s="7"/>
      <c r="I14" s="3"/>
      <c r="J14" s="3"/>
    </row>
    <row r="15" spans="1:10" x14ac:dyDescent="0.3">
      <c r="A15" s="8"/>
      <c r="B15" s="8"/>
      <c r="C15" s="8"/>
      <c r="D15" s="8"/>
      <c r="E15" s="8"/>
      <c r="F15" s="8"/>
      <c r="G15" s="8"/>
      <c r="H15" s="8"/>
      <c r="I15" s="3"/>
      <c r="J15" s="3"/>
    </row>
    <row r="16" spans="1:10" x14ac:dyDescent="0.3">
      <c r="A16" s="7"/>
      <c r="B16" s="7"/>
      <c r="C16" s="7"/>
      <c r="D16" s="7"/>
      <c r="E16" s="7"/>
      <c r="F16" s="7"/>
      <c r="G16" s="7"/>
      <c r="H16" s="7"/>
      <c r="I16" s="3"/>
      <c r="J16" s="3"/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3"/>
      <c r="J17" s="3"/>
    </row>
    <row r="18" spans="1:10" x14ac:dyDescent="0.3">
      <c r="A18" s="7"/>
      <c r="B18" s="7"/>
      <c r="C18" s="7"/>
      <c r="D18" s="7"/>
      <c r="E18" s="7"/>
      <c r="F18" s="7"/>
      <c r="G18" s="7"/>
      <c r="H18" s="7"/>
      <c r="I18" s="3"/>
      <c r="J18" s="3"/>
    </row>
    <row r="19" spans="1:10" ht="15.75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</row>
    <row r="20" spans="1:10" ht="15.75" customHeight="1" x14ac:dyDescent="0.3">
      <c r="A20" s="7"/>
      <c r="B20" s="7"/>
      <c r="C20" s="7"/>
      <c r="D20" s="7"/>
      <c r="E20" s="7"/>
      <c r="F20" s="7"/>
      <c r="G20" s="7"/>
      <c r="H20" s="7"/>
      <c r="I20" s="3"/>
      <c r="J20" s="3"/>
    </row>
    <row r="21" spans="1:10" ht="15.75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</row>
    <row r="22" spans="1:10" ht="15.75" customHeight="1" x14ac:dyDescent="0.3">
      <c r="A22" s="7"/>
      <c r="B22" s="7"/>
      <c r="C22" s="7"/>
      <c r="D22" s="7"/>
      <c r="E22" s="7"/>
      <c r="F22" s="7"/>
      <c r="G22" s="7"/>
      <c r="H22" s="7"/>
      <c r="I22" s="3"/>
      <c r="J22" s="3"/>
    </row>
    <row r="23" spans="1:10" ht="15.75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</row>
    <row r="24" spans="1:10" ht="15.75" customHeight="1" x14ac:dyDescent="0.3">
      <c r="A24" s="7"/>
      <c r="B24" s="7"/>
      <c r="C24" s="7"/>
      <c r="D24" s="7"/>
      <c r="E24" s="7"/>
      <c r="F24" s="7"/>
      <c r="G24" s="7"/>
      <c r="H24" s="7"/>
      <c r="I24" s="3"/>
      <c r="J24" s="3"/>
    </row>
    <row r="25" spans="1:10" ht="15.75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</row>
    <row r="26" spans="1:10" ht="15.75" customHeight="1" x14ac:dyDescent="0.3">
      <c r="A26" s="7"/>
      <c r="B26" s="7"/>
      <c r="C26" s="7"/>
      <c r="D26" s="7"/>
      <c r="E26" s="7"/>
      <c r="F26" s="7"/>
      <c r="G26" s="7"/>
      <c r="H26" s="7"/>
      <c r="I26" s="3"/>
      <c r="J26" s="3"/>
    </row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">
    <mergeCell ref="A1:H1"/>
    <mergeCell ref="A2:H2"/>
  </mergeCells>
  <conditionalFormatting sqref="D5">
    <cfRule type="expression" dxfId="80" priority="1">
      <formula>D5="OUT OF STOCK"</formula>
    </cfRule>
    <cfRule type="expression" dxfId="79" priority="2">
      <formula>D5="REORDER"</formula>
    </cfRule>
    <cfRule type="expression" dxfId="78" priority="3">
      <formula>D5="OK"</formula>
    </cfRule>
  </conditionalFormatting>
  <conditionalFormatting sqref="G5:G26">
    <cfRule type="expression" dxfId="77" priority="4">
      <formula>G5="OUT OF STOCK"</formula>
    </cfRule>
    <cfRule type="expression" dxfId="76" priority="5">
      <formula>G5="REORDER"</formula>
    </cfRule>
    <cfRule type="expression" dxfId="75" priority="6">
      <formula>G5="OK"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4" sqref="E4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.65" customHeight="1" x14ac:dyDescent="0.3">
      <c r="A1" s="24" t="s">
        <v>178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179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376</v>
      </c>
      <c r="C5" s="7" t="s">
        <v>377</v>
      </c>
      <c r="D5" s="7" t="s">
        <v>378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381</v>
      </c>
      <c r="C6" s="8" t="s">
        <v>377</v>
      </c>
      <c r="D6" s="8" t="s">
        <v>378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398</v>
      </c>
      <c r="C7" s="7" t="s">
        <v>399</v>
      </c>
      <c r="D7" s="7" t="s">
        <v>400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425</v>
      </c>
      <c r="C8" s="8" t="s">
        <v>81</v>
      </c>
      <c r="D8" s="8" t="s">
        <v>82</v>
      </c>
      <c r="E8" s="8">
        <v>2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678</v>
      </c>
      <c r="C9" s="7" t="s">
        <v>31</v>
      </c>
      <c r="D9" s="7" t="s">
        <v>32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1036</v>
      </c>
      <c r="C10" s="8" t="s">
        <v>123</v>
      </c>
      <c r="D10" s="8" t="s">
        <v>126</v>
      </c>
      <c r="E10" s="8">
        <v>2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1040</v>
      </c>
      <c r="C11" s="7" t="s">
        <v>138</v>
      </c>
      <c r="D11" s="7" t="s">
        <v>139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1042</v>
      </c>
      <c r="C12" s="8" t="s">
        <v>138</v>
      </c>
      <c r="D12" s="8" t="s">
        <v>139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1043</v>
      </c>
      <c r="C13" s="7" t="s">
        <v>759</v>
      </c>
      <c r="D13" s="7" t="s">
        <v>760</v>
      </c>
      <c r="E13" s="7">
        <v>2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1031</v>
      </c>
      <c r="C14" s="8" t="s">
        <v>81</v>
      </c>
      <c r="D14" s="8" t="s">
        <v>82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1046</v>
      </c>
      <c r="C15" s="7" t="s">
        <v>1047</v>
      </c>
      <c r="D15" s="7" t="s">
        <v>1048</v>
      </c>
      <c r="E15" s="7">
        <v>8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1049</v>
      </c>
      <c r="C16" s="8" t="s">
        <v>138</v>
      </c>
      <c r="D16" s="8" t="s">
        <v>139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1051</v>
      </c>
      <c r="C17" s="7" t="s">
        <v>349</v>
      </c>
      <c r="D17" s="7" t="s">
        <v>350</v>
      </c>
      <c r="E17" s="7">
        <v>4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1054</v>
      </c>
      <c r="C18" s="8" t="s">
        <v>81</v>
      </c>
      <c r="D18" s="8" t="s">
        <v>82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1028</v>
      </c>
      <c r="C19" s="7" t="s">
        <v>399</v>
      </c>
      <c r="D19" s="7" t="s">
        <v>400</v>
      </c>
      <c r="E19" s="7">
        <v>2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1057</v>
      </c>
      <c r="C20" s="8" t="s">
        <v>81</v>
      </c>
      <c r="D20" s="8" t="s">
        <v>82</v>
      </c>
      <c r="E20" s="8">
        <v>2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1062</v>
      </c>
      <c r="C21" s="7" t="s">
        <v>759</v>
      </c>
      <c r="D21" s="7" t="s">
        <v>760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1066</v>
      </c>
      <c r="C22" s="8" t="s">
        <v>759</v>
      </c>
      <c r="D22" s="8" t="s">
        <v>1068</v>
      </c>
      <c r="E22" s="8">
        <v>4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1070</v>
      </c>
      <c r="C23" s="7" t="s">
        <v>384</v>
      </c>
      <c r="D23" s="7" t="s">
        <v>385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1080</v>
      </c>
      <c r="C24" s="8" t="s">
        <v>31</v>
      </c>
      <c r="D24" s="8" t="s">
        <v>32</v>
      </c>
      <c r="E24" s="8">
        <v>6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1084</v>
      </c>
      <c r="C25" s="7" t="s">
        <v>555</v>
      </c>
      <c r="D25" s="7" t="s">
        <v>556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1079</v>
      </c>
      <c r="C26" s="8" t="s">
        <v>81</v>
      </c>
      <c r="D26" s="8" t="s">
        <v>82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1077</v>
      </c>
      <c r="C27" s="7" t="s">
        <v>522</v>
      </c>
      <c r="D27" s="7" t="s">
        <v>523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1075</v>
      </c>
      <c r="C28" s="8" t="s">
        <v>476</v>
      </c>
      <c r="D28" s="8" t="s">
        <v>587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1074</v>
      </c>
      <c r="C29" s="7" t="s">
        <v>81</v>
      </c>
      <c r="D29" s="7" t="s">
        <v>82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1073</v>
      </c>
      <c r="C30" s="8" t="s">
        <v>297</v>
      </c>
      <c r="D30" s="8" t="s">
        <v>82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1072</v>
      </c>
      <c r="C31" s="7" t="s">
        <v>377</v>
      </c>
      <c r="D31" s="7" t="s">
        <v>378</v>
      </c>
      <c r="E31" s="7">
        <v>2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1071</v>
      </c>
      <c r="C32" s="8" t="s">
        <v>31</v>
      </c>
      <c r="D32" s="8" t="s">
        <v>32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1069</v>
      </c>
      <c r="C33" s="7" t="s">
        <v>522</v>
      </c>
      <c r="D33" s="7" t="s">
        <v>523</v>
      </c>
      <c r="E33" s="7">
        <v>4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1067</v>
      </c>
      <c r="C34" s="8" t="s">
        <v>522</v>
      </c>
      <c r="D34" s="8" t="s">
        <v>523</v>
      </c>
      <c r="E34" s="8">
        <v>4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1063</v>
      </c>
      <c r="C35" s="7" t="s">
        <v>1064</v>
      </c>
      <c r="D35" s="7" t="s">
        <v>1065</v>
      </c>
      <c r="E35" s="7">
        <v>1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1061</v>
      </c>
      <c r="C36" s="8" t="s">
        <v>731</v>
      </c>
      <c r="D36" s="8" t="s">
        <v>732</v>
      </c>
      <c r="E36" s="8">
        <v>2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1060</v>
      </c>
      <c r="C37" s="7" t="s">
        <v>537</v>
      </c>
      <c r="D37" s="7" t="s">
        <v>538</v>
      </c>
      <c r="E37" s="7">
        <v>5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749</v>
      </c>
      <c r="C38" s="8" t="s">
        <v>377</v>
      </c>
      <c r="D38" s="8" t="s">
        <v>378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1058</v>
      </c>
      <c r="C39" s="7" t="s">
        <v>747</v>
      </c>
      <c r="D39" s="7" t="s">
        <v>748</v>
      </c>
      <c r="E39" s="7">
        <v>1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1056</v>
      </c>
      <c r="C40" s="8" t="s">
        <v>480</v>
      </c>
      <c r="D40" s="8" t="s">
        <v>482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1045</v>
      </c>
      <c r="C41" s="7" t="s">
        <v>480</v>
      </c>
      <c r="D41" s="7" t="s">
        <v>482</v>
      </c>
      <c r="E41" s="7">
        <v>1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1044</v>
      </c>
      <c r="C42" s="8" t="s">
        <v>480</v>
      </c>
      <c r="D42" s="8" t="s">
        <v>482</v>
      </c>
      <c r="E42" s="8">
        <v>1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548</v>
      </c>
      <c r="C43" s="7" t="s">
        <v>43</v>
      </c>
      <c r="D43" s="7" t="s">
        <v>44</v>
      </c>
      <c r="E43" s="7">
        <v>1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478</v>
      </c>
      <c r="C44" s="8" t="s">
        <v>43</v>
      </c>
      <c r="D44" s="8" t="s">
        <v>44</v>
      </c>
      <c r="E44" s="8">
        <v>2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1041</v>
      </c>
      <c r="C45" s="7" t="s">
        <v>614</v>
      </c>
      <c r="D45" s="7" t="s">
        <v>538</v>
      </c>
      <c r="E45" s="7">
        <v>1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966</v>
      </c>
      <c r="C46" s="8" t="s">
        <v>542</v>
      </c>
      <c r="D46" s="8" t="s">
        <v>523</v>
      </c>
      <c r="E46" s="8">
        <v>4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459</v>
      </c>
      <c r="C47" s="7" t="s">
        <v>31</v>
      </c>
      <c r="D47" s="7" t="s">
        <v>32</v>
      </c>
      <c r="E47" s="7">
        <v>11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201</v>
      </c>
      <c r="C48" s="8" t="s">
        <v>31</v>
      </c>
      <c r="D48" s="8" t="s">
        <v>32</v>
      </c>
      <c r="E48" s="8">
        <v>35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176</v>
      </c>
      <c r="C49" s="7" t="s">
        <v>177</v>
      </c>
      <c r="D49" s="7" t="s">
        <v>177</v>
      </c>
      <c r="E49" s="7">
        <v>1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1002</v>
      </c>
      <c r="C50" s="8" t="s">
        <v>290</v>
      </c>
      <c r="D50" s="8" t="s">
        <v>291</v>
      </c>
      <c r="E50" s="8">
        <v>2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194</v>
      </c>
      <c r="C51" s="7" t="s">
        <v>31</v>
      </c>
      <c r="D51" s="7" t="s">
        <v>32</v>
      </c>
      <c r="E51" s="7">
        <v>1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453</v>
      </c>
      <c r="C52" s="8" t="s">
        <v>31</v>
      </c>
      <c r="D52" s="8" t="s">
        <v>32</v>
      </c>
      <c r="E52" s="8">
        <v>21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157</v>
      </c>
      <c r="C53" s="7" t="s">
        <v>31</v>
      </c>
      <c r="D53" s="7" t="s">
        <v>32</v>
      </c>
      <c r="E53" s="7">
        <v>12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734</v>
      </c>
      <c r="C54" s="8" t="s">
        <v>31</v>
      </c>
      <c r="D54" s="8" t="s">
        <v>32</v>
      </c>
      <c r="E54" s="8">
        <v>16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817</v>
      </c>
      <c r="C55" s="7" t="s">
        <v>31</v>
      </c>
      <c r="D55" s="7" t="s">
        <v>32</v>
      </c>
      <c r="E55" s="7">
        <v>4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1037</v>
      </c>
      <c r="C56" s="8" t="s">
        <v>21</v>
      </c>
      <c r="D56" s="8" t="s">
        <v>23</v>
      </c>
      <c r="E56" s="8">
        <v>4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471</v>
      </c>
      <c r="C57" s="7" t="s">
        <v>21</v>
      </c>
      <c r="D57" s="7" t="s">
        <v>23</v>
      </c>
      <c r="E57" s="7">
        <v>8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717</v>
      </c>
      <c r="C58" s="8" t="s">
        <v>21</v>
      </c>
      <c r="D58" s="8" t="s">
        <v>23</v>
      </c>
      <c r="E58" s="8">
        <v>5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1026</v>
      </c>
      <c r="C59" s="7" t="s">
        <v>21</v>
      </c>
      <c r="D59" s="7" t="s">
        <v>23</v>
      </c>
      <c r="E59" s="7">
        <v>4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8">
        <v>56</v>
      </c>
      <c r="B60" s="8" t="s">
        <v>1024</v>
      </c>
      <c r="C60" s="8" t="s">
        <v>21</v>
      </c>
      <c r="D60" s="8" t="s">
        <v>23</v>
      </c>
      <c r="E60" s="8">
        <v>1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7">
        <v>57</v>
      </c>
      <c r="B61" s="7" t="s">
        <v>640</v>
      </c>
      <c r="C61" s="7" t="s">
        <v>21</v>
      </c>
      <c r="D61" s="7" t="s">
        <v>23</v>
      </c>
      <c r="E61" s="7">
        <v>2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8">
        <v>58</v>
      </c>
      <c r="B62" s="8" t="s">
        <v>811</v>
      </c>
      <c r="C62" s="8" t="s">
        <v>21</v>
      </c>
      <c r="D62" s="8" t="s">
        <v>23</v>
      </c>
      <c r="E62" s="8">
        <v>7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7">
        <v>59</v>
      </c>
      <c r="B63" s="7" t="s">
        <v>40</v>
      </c>
      <c r="C63" s="7" t="s">
        <v>21</v>
      </c>
      <c r="D63" s="7" t="s">
        <v>23</v>
      </c>
      <c r="E63" s="7">
        <v>4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8">
        <v>60</v>
      </c>
      <c r="B64" s="8" t="s">
        <v>33</v>
      </c>
      <c r="C64" s="8" t="s">
        <v>21</v>
      </c>
      <c r="D64" s="8" t="s">
        <v>23</v>
      </c>
      <c r="E64" s="8">
        <v>10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7">
        <v>61</v>
      </c>
      <c r="B65" s="7" t="s">
        <v>581</v>
      </c>
      <c r="C65" s="7" t="s">
        <v>21</v>
      </c>
      <c r="D65" s="7" t="s">
        <v>23</v>
      </c>
      <c r="E65" s="7">
        <v>2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8">
        <v>62</v>
      </c>
      <c r="B66" s="8" t="s">
        <v>1014</v>
      </c>
      <c r="C66" s="8" t="s">
        <v>21</v>
      </c>
      <c r="D66" s="8" t="s">
        <v>23</v>
      </c>
      <c r="E66" s="8">
        <v>8</v>
      </c>
      <c r="F66" s="8" t="str">
        <f t="array" ref="F66">IFERROR(_xlfn.XLOOKUP(B66,#REF!,#REF!,""),"")</f>
        <v/>
      </c>
      <c r="G66" s="8" t="str">
        <f t="array" ref="G66">IFERROR(_xlfn.XLOOKUP(B66,#REF!,#REF!,""),"")</f>
        <v/>
      </c>
      <c r="H66" s="8" t="str">
        <f t="array" ref="H66">IFERROR(_xlfn.XLOOKUP(B66,#REF!,#REF!,""),"")</f>
        <v/>
      </c>
      <c r="I66" s="3"/>
      <c r="J66" s="3"/>
    </row>
    <row r="67" spans="1:10" ht="15.75" customHeight="1" x14ac:dyDescent="0.3">
      <c r="A67" s="7">
        <v>63</v>
      </c>
      <c r="B67" s="7" t="s">
        <v>460</v>
      </c>
      <c r="C67" s="7" t="s">
        <v>21</v>
      </c>
      <c r="D67" s="7" t="s">
        <v>23</v>
      </c>
      <c r="E67" s="7">
        <v>4</v>
      </c>
      <c r="F67" s="7" t="str">
        <f t="array" ref="F67">IFERROR(_xlfn.XLOOKUP(B67,#REF!,#REF!,""),"")</f>
        <v/>
      </c>
      <c r="G67" s="7" t="str">
        <f t="array" ref="G67">IFERROR(_xlfn.XLOOKUP(B67,#REF!,#REF!,""),"")</f>
        <v/>
      </c>
      <c r="H67" s="7" t="str">
        <f t="array" ref="H67">IFERROR(_xlfn.XLOOKUP(B67,#REF!,#REF!,""),"")</f>
        <v/>
      </c>
      <c r="I67" s="3"/>
      <c r="J67" s="3"/>
    </row>
    <row r="68" spans="1:10" ht="15.75" customHeight="1" x14ac:dyDescent="0.3"/>
    <row r="69" spans="1:10" ht="15.75" customHeight="1" x14ac:dyDescent="0.3"/>
    <row r="70" spans="1:10" ht="15.75" customHeight="1" x14ac:dyDescent="0.3"/>
    <row r="71" spans="1:10" ht="15.75" customHeight="1" x14ac:dyDescent="0.3"/>
    <row r="72" spans="1:10" ht="15.75" customHeight="1" x14ac:dyDescent="0.3"/>
    <row r="73" spans="1:10" ht="15.75" customHeight="1" x14ac:dyDescent="0.3"/>
    <row r="74" spans="1:10" ht="15.75" customHeight="1" x14ac:dyDescent="0.3"/>
    <row r="75" spans="1:10" ht="15.75" customHeight="1" x14ac:dyDescent="0.3"/>
    <row r="76" spans="1:10" ht="15.75" customHeight="1" x14ac:dyDescent="0.3"/>
    <row r="77" spans="1:10" ht="15.75" customHeight="1" x14ac:dyDescent="0.3"/>
    <row r="78" spans="1:10" ht="15.75" customHeight="1" x14ac:dyDescent="0.3"/>
    <row r="79" spans="1:10" ht="15.75" customHeight="1" x14ac:dyDescent="0.3"/>
    <row r="80" spans="1:1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7" xr:uid="{00000000-0009-0000-0000-00002E000000}">
    <sortState xmlns:xlrd2="http://schemas.microsoft.com/office/spreadsheetml/2017/richdata2" ref="A5:H67">
      <sortCondition ref="A4:A67"/>
    </sortState>
  </autoFilter>
  <mergeCells count="2">
    <mergeCell ref="A1:H1"/>
    <mergeCell ref="A2:H2"/>
  </mergeCells>
  <conditionalFormatting sqref="G5:G67">
    <cfRule type="expression" dxfId="74" priority="1">
      <formula>G5="OUT OF STOCK"</formula>
    </cfRule>
    <cfRule type="expression" dxfId="73" priority="2">
      <formula>G5="REORDER"</formula>
    </cfRule>
    <cfRule type="expression" dxfId="7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0" customHeight="1" x14ac:dyDescent="0.3">
      <c r="A1" s="24" t="s">
        <v>182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183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383</v>
      </c>
      <c r="C5" s="8" t="s">
        <v>384</v>
      </c>
      <c r="D5" s="8" t="s">
        <v>385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387</v>
      </c>
      <c r="C6" s="7" t="s">
        <v>141</v>
      </c>
      <c r="D6" s="7" t="s">
        <v>142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388</v>
      </c>
      <c r="C7" s="8" t="s">
        <v>138</v>
      </c>
      <c r="D7" s="8" t="s">
        <v>139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389</v>
      </c>
      <c r="C8" s="7" t="s">
        <v>272</v>
      </c>
      <c r="D8" s="7" t="s">
        <v>273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1055</v>
      </c>
      <c r="C9" s="8" t="s">
        <v>860</v>
      </c>
      <c r="D9" s="8" t="s">
        <v>861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1053</v>
      </c>
      <c r="C10" s="7" t="s">
        <v>480</v>
      </c>
      <c r="D10" s="7" t="s">
        <v>482</v>
      </c>
      <c r="E10" s="7">
        <v>2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1052</v>
      </c>
      <c r="C11" s="8" t="s">
        <v>946</v>
      </c>
      <c r="D11" s="8" t="s">
        <v>947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1050</v>
      </c>
      <c r="C12" s="7" t="s">
        <v>437</v>
      </c>
      <c r="D12" s="7" t="s">
        <v>438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649</v>
      </c>
      <c r="C13" s="8" t="s">
        <v>217</v>
      </c>
      <c r="D13" s="8" t="s">
        <v>218</v>
      </c>
      <c r="E13" s="8">
        <v>3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184</v>
      </c>
      <c r="C14" s="7" t="s">
        <v>31</v>
      </c>
      <c r="D14" s="7" t="s">
        <v>32</v>
      </c>
      <c r="E14" s="7">
        <v>10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29</v>
      </c>
      <c r="C15" s="8" t="s">
        <v>31</v>
      </c>
      <c r="D15" s="8" t="s">
        <v>32</v>
      </c>
      <c r="E15" s="8">
        <v>8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164</v>
      </c>
      <c r="C16" s="7" t="s">
        <v>31</v>
      </c>
      <c r="D16" s="7" t="s">
        <v>32</v>
      </c>
      <c r="E16" s="7">
        <v>4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61</v>
      </c>
      <c r="C17" s="8" t="s">
        <v>21</v>
      </c>
      <c r="D17" s="8" t="s">
        <v>23</v>
      </c>
      <c r="E17" s="8">
        <v>2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46</v>
      </c>
      <c r="C18" s="7" t="s">
        <v>21</v>
      </c>
      <c r="D18" s="7" t="s">
        <v>23</v>
      </c>
      <c r="E18" s="7">
        <v>8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/>
    <row r="20" spans="1:10" ht="15.75" customHeight="1" x14ac:dyDescent="0.3"/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8" xr:uid="{00000000-0009-0000-0000-00002F000000}">
    <sortState xmlns:xlrd2="http://schemas.microsoft.com/office/spreadsheetml/2017/richdata2" ref="A5:H18">
      <sortCondition ref="A4:A18"/>
    </sortState>
  </autoFilter>
  <mergeCells count="2">
    <mergeCell ref="A1:H1"/>
    <mergeCell ref="A2:H2"/>
  </mergeCells>
  <conditionalFormatting sqref="G5:G18">
    <cfRule type="expression" dxfId="71" priority="1">
      <formula>G5="OUT OF STOCK"</formula>
    </cfRule>
    <cfRule type="expression" dxfId="70" priority="2">
      <formula>G5="REORDER"</formula>
    </cfRule>
    <cfRule type="expression" dxfId="69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5" sqref="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3.65" customHeight="1" x14ac:dyDescent="0.3">
      <c r="A1" s="24" t="s">
        <v>185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187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452</v>
      </c>
      <c r="C5" s="7" t="s">
        <v>192</v>
      </c>
      <c r="D5" s="7" t="s">
        <v>193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454</v>
      </c>
      <c r="C6" s="8" t="s">
        <v>141</v>
      </c>
      <c r="D6" s="8" t="s">
        <v>142</v>
      </c>
      <c r="E6" s="8">
        <v>2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457</v>
      </c>
      <c r="C7" s="7" t="s">
        <v>21</v>
      </c>
      <c r="D7" s="7" t="s">
        <v>23</v>
      </c>
      <c r="E7" s="7">
        <v>2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461</v>
      </c>
      <c r="C8" s="8" t="s">
        <v>462</v>
      </c>
      <c r="D8" s="8" t="s">
        <v>463</v>
      </c>
      <c r="E8" s="8">
        <v>2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466</v>
      </c>
      <c r="C9" s="7" t="s">
        <v>141</v>
      </c>
      <c r="D9" s="7" t="s">
        <v>467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472</v>
      </c>
      <c r="C10" s="8" t="s">
        <v>476</v>
      </c>
      <c r="D10" s="8" t="s">
        <v>477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481</v>
      </c>
      <c r="C11" s="7" t="s">
        <v>349</v>
      </c>
      <c r="D11" s="7" t="s">
        <v>350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486</v>
      </c>
      <c r="C12" s="8" t="s">
        <v>488</v>
      </c>
      <c r="D12" s="8" t="s">
        <v>489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494</v>
      </c>
      <c r="C13" s="7" t="s">
        <v>272</v>
      </c>
      <c r="D13" s="7" t="s">
        <v>273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504</v>
      </c>
      <c r="C14" s="8" t="s">
        <v>17</v>
      </c>
      <c r="D14" s="8" t="s">
        <v>18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506</v>
      </c>
      <c r="C15" s="7" t="s">
        <v>349</v>
      </c>
      <c r="D15" s="7" t="s">
        <v>350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510</v>
      </c>
      <c r="C16" s="8" t="s">
        <v>297</v>
      </c>
      <c r="D16" s="8" t="s">
        <v>82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515</v>
      </c>
      <c r="C17" s="7" t="s">
        <v>297</v>
      </c>
      <c r="D17" s="7" t="s">
        <v>82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517</v>
      </c>
      <c r="C18" s="8" t="s">
        <v>399</v>
      </c>
      <c r="D18" s="8" t="s">
        <v>400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524</v>
      </c>
      <c r="C19" s="7" t="s">
        <v>72</v>
      </c>
      <c r="D19" s="7" t="s">
        <v>73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1098</v>
      </c>
      <c r="C20" s="8" t="s">
        <v>798</v>
      </c>
      <c r="D20" s="8" t="s">
        <v>799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1097</v>
      </c>
      <c r="C21" s="7" t="s">
        <v>1000</v>
      </c>
      <c r="D21" s="7" t="s">
        <v>1001</v>
      </c>
      <c r="E21" s="7">
        <v>1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1095</v>
      </c>
      <c r="C22" s="8" t="s">
        <v>522</v>
      </c>
      <c r="D22" s="8" t="s">
        <v>523</v>
      </c>
      <c r="E22" s="8">
        <v>2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1094</v>
      </c>
      <c r="C23" s="7" t="s">
        <v>499</v>
      </c>
      <c r="D23" s="7" t="s">
        <v>500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1092</v>
      </c>
      <c r="C24" s="8" t="s">
        <v>499</v>
      </c>
      <c r="D24" s="8" t="s">
        <v>500</v>
      </c>
      <c r="E24" s="8">
        <v>1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1091</v>
      </c>
      <c r="C25" s="7" t="s">
        <v>496</v>
      </c>
      <c r="D25" s="7" t="s">
        <v>497</v>
      </c>
      <c r="E25" s="7">
        <v>1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892</v>
      </c>
      <c r="C26" s="8" t="s">
        <v>893</v>
      </c>
      <c r="D26" s="8" t="s">
        <v>894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1090</v>
      </c>
      <c r="C27" s="7" t="s">
        <v>217</v>
      </c>
      <c r="D27" s="7" t="s">
        <v>218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1089</v>
      </c>
      <c r="C28" s="8" t="s">
        <v>537</v>
      </c>
      <c r="D28" s="8" t="s">
        <v>538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1088</v>
      </c>
      <c r="C29" s="7" t="s">
        <v>480</v>
      </c>
      <c r="D29" s="7" t="s">
        <v>482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968</v>
      </c>
      <c r="C30" s="8" t="s">
        <v>480</v>
      </c>
      <c r="D30" s="8" t="s">
        <v>482</v>
      </c>
      <c r="E30" s="8">
        <v>3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190</v>
      </c>
      <c r="C31" s="7" t="s">
        <v>43</v>
      </c>
      <c r="D31" s="7" t="s">
        <v>44</v>
      </c>
      <c r="E31" s="7">
        <v>12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940</v>
      </c>
      <c r="C32" s="8" t="s">
        <v>469</v>
      </c>
      <c r="D32" s="8" t="s">
        <v>470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1086</v>
      </c>
      <c r="C33" s="7" t="s">
        <v>217</v>
      </c>
      <c r="D33" s="7" t="s">
        <v>218</v>
      </c>
      <c r="E33" s="7">
        <v>8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788</v>
      </c>
      <c r="C34" s="8" t="s">
        <v>31</v>
      </c>
      <c r="D34" s="8" t="s">
        <v>32</v>
      </c>
      <c r="E34" s="8">
        <v>2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184</v>
      </c>
      <c r="C35" s="7" t="s">
        <v>31</v>
      </c>
      <c r="D35" s="7" t="s">
        <v>32</v>
      </c>
      <c r="E35" s="7">
        <v>39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539</v>
      </c>
      <c r="C36" s="8" t="s">
        <v>328</v>
      </c>
      <c r="D36" s="8" t="s">
        <v>456</v>
      </c>
      <c r="E36" s="8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1085</v>
      </c>
      <c r="C37" s="7" t="s">
        <v>290</v>
      </c>
      <c r="D37" s="7" t="s">
        <v>291</v>
      </c>
      <c r="E37" s="7">
        <v>3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382</v>
      </c>
      <c r="C38" s="8" t="s">
        <v>31</v>
      </c>
      <c r="D38" s="8" t="s">
        <v>32</v>
      </c>
      <c r="E38" s="8">
        <v>6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29</v>
      </c>
      <c r="C39" s="7" t="s">
        <v>31</v>
      </c>
      <c r="D39" s="7" t="s">
        <v>32</v>
      </c>
      <c r="E39" s="7">
        <v>8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164</v>
      </c>
      <c r="C40" s="8" t="s">
        <v>31</v>
      </c>
      <c r="D40" s="8" t="s">
        <v>32</v>
      </c>
      <c r="E40" s="8">
        <v>42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935</v>
      </c>
      <c r="C41" s="7" t="s">
        <v>31</v>
      </c>
      <c r="D41" s="7" t="s">
        <v>32</v>
      </c>
      <c r="E41" s="7">
        <v>12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132</v>
      </c>
      <c r="C42" s="8" t="s">
        <v>72</v>
      </c>
      <c r="D42" s="8" t="s">
        <v>73</v>
      </c>
      <c r="E42" s="8">
        <v>2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127</v>
      </c>
      <c r="C43" s="7" t="s">
        <v>72</v>
      </c>
      <c r="D43" s="7" t="s">
        <v>73</v>
      </c>
      <c r="E43" s="7">
        <v>2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525</v>
      </c>
      <c r="C44" s="8" t="s">
        <v>328</v>
      </c>
      <c r="D44" s="8" t="s">
        <v>329</v>
      </c>
      <c r="E44" s="8">
        <v>1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1076</v>
      </c>
      <c r="C45" s="7" t="s">
        <v>328</v>
      </c>
      <c r="D45" s="7" t="s">
        <v>329</v>
      </c>
      <c r="E45" s="7">
        <v>1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841</v>
      </c>
      <c r="C46" s="8" t="s">
        <v>842</v>
      </c>
      <c r="D46" s="8" t="s">
        <v>843</v>
      </c>
      <c r="E46" s="8">
        <v>1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20</v>
      </c>
      <c r="C47" s="7" t="s">
        <v>21</v>
      </c>
      <c r="D47" s="7" t="s">
        <v>23</v>
      </c>
      <c r="E47" s="7">
        <v>4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95</v>
      </c>
      <c r="C48" s="8" t="s">
        <v>21</v>
      </c>
      <c r="D48" s="8" t="s">
        <v>23</v>
      </c>
      <c r="E48" s="8">
        <v>12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80</v>
      </c>
      <c r="C49" s="7" t="s">
        <v>21</v>
      </c>
      <c r="D49" s="7" t="s">
        <v>23</v>
      </c>
      <c r="E49" s="7">
        <v>2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777</v>
      </c>
      <c r="C50" s="8" t="s">
        <v>21</v>
      </c>
      <c r="D50" s="8" t="s">
        <v>23</v>
      </c>
      <c r="E50" s="8">
        <v>4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75</v>
      </c>
      <c r="C51" s="7" t="s">
        <v>21</v>
      </c>
      <c r="D51" s="7" t="s">
        <v>23</v>
      </c>
      <c r="E51" s="7">
        <v>2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812</v>
      </c>
      <c r="C52" s="8" t="s">
        <v>21</v>
      </c>
      <c r="D52" s="8" t="s">
        <v>23</v>
      </c>
      <c r="E52" s="8">
        <v>4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501</v>
      </c>
      <c r="C53" s="7" t="s">
        <v>21</v>
      </c>
      <c r="D53" s="7" t="s">
        <v>23</v>
      </c>
      <c r="E53" s="7">
        <v>15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52</v>
      </c>
      <c r="C54" s="8" t="s">
        <v>21</v>
      </c>
      <c r="D54" s="8" t="s">
        <v>23</v>
      </c>
      <c r="E54" s="8">
        <v>4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46</v>
      </c>
      <c r="C55" s="7" t="s">
        <v>21</v>
      </c>
      <c r="D55" s="7" t="s">
        <v>23</v>
      </c>
      <c r="E55" s="7">
        <v>2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1059</v>
      </c>
      <c r="C56" s="8" t="s">
        <v>21</v>
      </c>
      <c r="D56" s="8" t="s">
        <v>23</v>
      </c>
      <c r="E56" s="8">
        <v>4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825</v>
      </c>
      <c r="C57" s="7" t="s">
        <v>17</v>
      </c>
      <c r="D57" s="7" t="s">
        <v>18</v>
      </c>
      <c r="E57" s="7">
        <v>1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992</v>
      </c>
      <c r="C58" s="8" t="s">
        <v>17</v>
      </c>
      <c r="D58" s="8" t="s">
        <v>18</v>
      </c>
      <c r="E58" s="8">
        <v>1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435</v>
      </c>
      <c r="C59" s="7" t="s">
        <v>17</v>
      </c>
      <c r="D59" s="7" t="s">
        <v>18</v>
      </c>
      <c r="E59" s="7">
        <v>1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9" xr:uid="{00000000-0009-0000-0000-000030000000}">
    <sortState xmlns:xlrd2="http://schemas.microsoft.com/office/spreadsheetml/2017/richdata2" ref="A5:H59">
      <sortCondition ref="A4:A59"/>
    </sortState>
  </autoFilter>
  <mergeCells count="2">
    <mergeCell ref="A1:H1"/>
    <mergeCell ref="A2:H2"/>
  </mergeCells>
  <conditionalFormatting sqref="G5:G59">
    <cfRule type="expression" dxfId="68" priority="1">
      <formula>G5="OUT OF STOCK"</formula>
    </cfRule>
    <cfRule type="expression" dxfId="67" priority="2">
      <formula>G5="REORDER"</formula>
    </cfRule>
    <cfRule type="expression" dxfId="6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5.75" customHeight="1" x14ac:dyDescent="0.3">
      <c r="A1" s="24" t="s">
        <v>188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189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1081</v>
      </c>
      <c r="C5" s="8" t="s">
        <v>1082</v>
      </c>
      <c r="D5" s="8" t="s">
        <v>1083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1078</v>
      </c>
      <c r="C6" s="7" t="s">
        <v>22</v>
      </c>
      <c r="D6" s="7" t="s">
        <v>24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" xr:uid="{00000000-0009-0000-0000-000031000000}">
    <sortState xmlns:xlrd2="http://schemas.microsoft.com/office/spreadsheetml/2017/richdata2" ref="A5:H6">
      <sortCondition ref="A4:A6"/>
    </sortState>
  </autoFilter>
  <mergeCells count="2">
    <mergeCell ref="A1:H1"/>
    <mergeCell ref="A2:H2"/>
  </mergeCells>
  <conditionalFormatting sqref="G5:G6">
    <cfRule type="expression" dxfId="65" priority="1">
      <formula>G5="OUT OF STOCK"</formula>
    </cfRule>
    <cfRule type="expression" dxfId="64" priority="2">
      <formula>G5="REORDER"</formula>
    </cfRule>
    <cfRule type="expression" dxfId="63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57AB-F7D0-4667-B783-C6484A535770}">
  <sheetPr>
    <tabColor rgb="FFFFFF00"/>
  </sheetPr>
  <dimension ref="A1:J67"/>
  <sheetViews>
    <sheetView workbookViewId="0">
      <selection activeCell="D3" sqref="D3"/>
    </sheetView>
  </sheetViews>
  <sheetFormatPr defaultRowHeight="14.5" x14ac:dyDescent="0.35"/>
  <cols>
    <col min="1" max="1" width="26.453125" customWidth="1"/>
    <col min="2" max="2" width="17.453125" customWidth="1"/>
    <col min="3" max="3" width="23.26953125" customWidth="1"/>
    <col min="4" max="4" width="20.36328125" customWidth="1"/>
    <col min="5" max="5" width="19.90625" customWidth="1"/>
    <col min="6" max="6" width="17.7265625" customWidth="1"/>
    <col min="7" max="7" width="15.08984375" customWidth="1"/>
    <col min="8" max="8" width="14.54296875" customWidth="1"/>
  </cols>
  <sheetData>
    <row r="1" spans="1:10" ht="18.5" x14ac:dyDescent="0.35">
      <c r="A1" s="34" t="s">
        <v>1383</v>
      </c>
      <c r="B1" s="35"/>
      <c r="C1" s="35"/>
      <c r="D1" s="35"/>
      <c r="E1" s="35"/>
    </row>
    <row r="2" spans="1:10" x14ac:dyDescent="0.35">
      <c r="A2" s="27" t="s">
        <v>1383</v>
      </c>
      <c r="B2" s="28"/>
      <c r="C2" s="28"/>
      <c r="D2" s="28"/>
      <c r="E2" s="28"/>
      <c r="F2" s="28"/>
      <c r="G2" s="28"/>
      <c r="H2" s="28"/>
    </row>
    <row r="4" spans="1:10" s="9" customFormat="1" ht="19" customHeight="1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x14ac:dyDescent="0.35">
      <c r="A5" s="18">
        <v>1</v>
      </c>
      <c r="B5" s="19" t="s">
        <v>534</v>
      </c>
      <c r="C5" s="18">
        <v>2</v>
      </c>
      <c r="D5" s="19" t="s">
        <v>142</v>
      </c>
      <c r="E5" s="19" t="s">
        <v>141</v>
      </c>
    </row>
    <row r="6" spans="1:10" x14ac:dyDescent="0.35">
      <c r="A6" s="20">
        <v>2</v>
      </c>
      <c r="B6" s="21" t="s">
        <v>535</v>
      </c>
      <c r="C6" s="20">
        <v>1</v>
      </c>
      <c r="D6" s="21" t="s">
        <v>82</v>
      </c>
      <c r="E6" s="21" t="s">
        <v>81</v>
      </c>
    </row>
    <row r="7" spans="1:10" x14ac:dyDescent="0.35">
      <c r="A7" s="18">
        <v>3</v>
      </c>
      <c r="B7" s="19" t="s">
        <v>540</v>
      </c>
      <c r="C7" s="18">
        <v>1</v>
      </c>
      <c r="D7" s="19" t="s">
        <v>139</v>
      </c>
      <c r="E7" s="19" t="s">
        <v>138</v>
      </c>
    </row>
    <row r="8" spans="1:10" x14ac:dyDescent="0.35">
      <c r="A8" s="20">
        <v>4</v>
      </c>
      <c r="B8" s="21" t="s">
        <v>543</v>
      </c>
      <c r="C8" s="20">
        <v>4</v>
      </c>
      <c r="D8" s="21" t="s">
        <v>400</v>
      </c>
      <c r="E8" s="21" t="s">
        <v>544</v>
      </c>
    </row>
    <row r="9" spans="1:10" x14ac:dyDescent="0.35">
      <c r="A9" s="18">
        <v>5</v>
      </c>
      <c r="B9" s="19" t="s">
        <v>546</v>
      </c>
      <c r="C9" s="18">
        <v>1</v>
      </c>
      <c r="D9" s="19" t="s">
        <v>139</v>
      </c>
      <c r="E9" s="19" t="s">
        <v>138</v>
      </c>
    </row>
    <row r="10" spans="1:10" x14ac:dyDescent="0.35">
      <c r="A10" s="20">
        <v>6</v>
      </c>
      <c r="B10" s="21" t="s">
        <v>549</v>
      </c>
      <c r="C10" s="20">
        <v>2</v>
      </c>
      <c r="D10" s="21" t="s">
        <v>82</v>
      </c>
      <c r="E10" s="37" t="s">
        <v>81</v>
      </c>
    </row>
    <row r="11" spans="1:10" x14ac:dyDescent="0.35">
      <c r="A11" s="18">
        <v>7</v>
      </c>
      <c r="B11" s="19" t="s">
        <v>550</v>
      </c>
      <c r="C11" s="18">
        <v>1</v>
      </c>
      <c r="D11" s="19" t="s">
        <v>82</v>
      </c>
      <c r="E11" s="19" t="s">
        <v>297</v>
      </c>
    </row>
    <row r="12" spans="1:10" x14ac:dyDescent="0.35">
      <c r="A12" s="20">
        <v>8</v>
      </c>
      <c r="B12" s="21" t="s">
        <v>553</v>
      </c>
      <c r="C12" s="20">
        <v>1</v>
      </c>
      <c r="D12" s="21" t="s">
        <v>139</v>
      </c>
      <c r="E12" s="21" t="s">
        <v>138</v>
      </c>
    </row>
    <row r="13" spans="1:10" x14ac:dyDescent="0.35">
      <c r="A13" s="18">
        <v>9</v>
      </c>
      <c r="B13" s="19" t="s">
        <v>558</v>
      </c>
      <c r="C13" s="18">
        <v>1</v>
      </c>
      <c r="D13" s="19" t="s">
        <v>560</v>
      </c>
      <c r="E13" s="19" t="s">
        <v>559</v>
      </c>
    </row>
    <row r="14" spans="1:10" x14ac:dyDescent="0.35">
      <c r="A14" s="20">
        <v>10</v>
      </c>
      <c r="B14" s="21" t="s">
        <v>562</v>
      </c>
      <c r="C14" s="20">
        <v>1</v>
      </c>
      <c r="D14" s="21" t="s">
        <v>565</v>
      </c>
      <c r="E14" s="21" t="s">
        <v>564</v>
      </c>
    </row>
    <row r="15" spans="1:10" x14ac:dyDescent="0.35">
      <c r="A15" s="18">
        <v>11</v>
      </c>
      <c r="B15" s="19" t="s">
        <v>567</v>
      </c>
      <c r="C15" s="18">
        <v>1</v>
      </c>
      <c r="D15" s="19" t="s">
        <v>565</v>
      </c>
      <c r="E15" s="19" t="s">
        <v>564</v>
      </c>
    </row>
    <row r="16" spans="1:10" x14ac:dyDescent="0.35">
      <c r="A16" s="20">
        <v>12</v>
      </c>
      <c r="B16" s="21" t="s">
        <v>568</v>
      </c>
      <c r="C16" s="20">
        <v>2</v>
      </c>
      <c r="D16" s="21" t="s">
        <v>570</v>
      </c>
      <c r="E16" s="21" t="s">
        <v>569</v>
      </c>
    </row>
    <row r="17" spans="1:5" x14ac:dyDescent="0.35">
      <c r="A17" s="18">
        <v>13</v>
      </c>
      <c r="B17" s="19" t="s">
        <v>573</v>
      </c>
      <c r="C17" s="18">
        <v>2</v>
      </c>
      <c r="D17" s="19" t="s">
        <v>214</v>
      </c>
      <c r="E17" s="19" t="s">
        <v>212</v>
      </c>
    </row>
    <row r="18" spans="1:5" x14ac:dyDescent="0.35">
      <c r="A18" s="20">
        <v>14</v>
      </c>
      <c r="B18" s="21" t="s">
        <v>631</v>
      </c>
      <c r="C18" s="20">
        <v>1</v>
      </c>
      <c r="D18" s="21" t="s">
        <v>214</v>
      </c>
      <c r="E18" s="21" t="s">
        <v>212</v>
      </c>
    </row>
    <row r="19" spans="1:5" x14ac:dyDescent="0.35">
      <c r="A19" s="18">
        <v>15</v>
      </c>
      <c r="B19" s="19" t="s">
        <v>635</v>
      </c>
      <c r="C19" s="18">
        <v>1</v>
      </c>
      <c r="D19" s="19" t="s">
        <v>523</v>
      </c>
      <c r="E19" s="19" t="s">
        <v>591</v>
      </c>
    </row>
    <row r="20" spans="1:5" x14ac:dyDescent="0.35">
      <c r="A20" s="20">
        <v>16</v>
      </c>
      <c r="B20" s="21" t="s">
        <v>636</v>
      </c>
      <c r="C20" s="20">
        <v>1</v>
      </c>
      <c r="D20" s="21" t="s">
        <v>82</v>
      </c>
      <c r="E20" s="21" t="s">
        <v>297</v>
      </c>
    </row>
    <row r="21" spans="1:5" x14ac:dyDescent="0.35">
      <c r="A21" s="18">
        <v>17</v>
      </c>
      <c r="B21" s="19" t="s">
        <v>1087</v>
      </c>
      <c r="C21" s="18">
        <v>2</v>
      </c>
      <c r="D21" s="19" t="s">
        <v>300</v>
      </c>
      <c r="E21" s="19" t="s">
        <v>299</v>
      </c>
    </row>
    <row r="22" spans="1:5" x14ac:dyDescent="0.35">
      <c r="A22" s="20">
        <v>18</v>
      </c>
      <c r="B22" s="21" t="s">
        <v>1119</v>
      </c>
      <c r="C22" s="20">
        <v>2</v>
      </c>
      <c r="D22" s="21" t="s">
        <v>570</v>
      </c>
      <c r="E22" s="21" t="s">
        <v>569</v>
      </c>
    </row>
    <row r="23" spans="1:5" x14ac:dyDescent="0.35">
      <c r="A23" s="18">
        <v>19</v>
      </c>
      <c r="B23" s="19" t="s">
        <v>1116</v>
      </c>
      <c r="C23" s="18">
        <v>1</v>
      </c>
      <c r="D23" s="19" t="s">
        <v>82</v>
      </c>
      <c r="E23" s="19" t="s">
        <v>297</v>
      </c>
    </row>
    <row r="24" spans="1:5" x14ac:dyDescent="0.35">
      <c r="A24" s="20">
        <v>20</v>
      </c>
      <c r="B24" s="21" t="s">
        <v>1114</v>
      </c>
      <c r="C24" s="20">
        <v>1</v>
      </c>
      <c r="D24" s="21" t="s">
        <v>273</v>
      </c>
      <c r="E24" s="21" t="s">
        <v>272</v>
      </c>
    </row>
    <row r="25" spans="1:5" x14ac:dyDescent="0.35">
      <c r="A25" s="18">
        <v>21</v>
      </c>
      <c r="B25" s="19" t="s">
        <v>1111</v>
      </c>
      <c r="C25" s="18">
        <v>2</v>
      </c>
      <c r="D25" s="19" t="s">
        <v>82</v>
      </c>
      <c r="E25" s="19" t="s">
        <v>1112</v>
      </c>
    </row>
    <row r="26" spans="1:5" x14ac:dyDescent="0.35">
      <c r="A26" s="20">
        <v>22</v>
      </c>
      <c r="B26" s="21" t="s">
        <v>1109</v>
      </c>
      <c r="C26" s="20">
        <v>1</v>
      </c>
      <c r="D26" s="21" t="s">
        <v>990</v>
      </c>
      <c r="E26" s="21" t="s">
        <v>989</v>
      </c>
    </row>
    <row r="27" spans="1:5" x14ac:dyDescent="0.35">
      <c r="A27" s="18">
        <v>23</v>
      </c>
      <c r="B27" s="19" t="s">
        <v>1105</v>
      </c>
      <c r="C27" s="18">
        <v>1</v>
      </c>
      <c r="D27" s="19" t="s">
        <v>92</v>
      </c>
      <c r="E27" s="19" t="s">
        <v>91</v>
      </c>
    </row>
    <row r="28" spans="1:5" x14ac:dyDescent="0.35">
      <c r="A28" s="20">
        <v>24</v>
      </c>
      <c r="B28" s="21" t="s">
        <v>1104</v>
      </c>
      <c r="C28" s="20">
        <v>1</v>
      </c>
      <c r="D28" s="21" t="s">
        <v>990</v>
      </c>
      <c r="E28" s="21" t="s">
        <v>989</v>
      </c>
    </row>
    <row r="29" spans="1:5" x14ac:dyDescent="0.35">
      <c r="A29" s="18">
        <v>25</v>
      </c>
      <c r="B29" s="19" t="s">
        <v>1067</v>
      </c>
      <c r="C29" s="18">
        <v>2</v>
      </c>
      <c r="D29" s="19" t="s">
        <v>523</v>
      </c>
      <c r="E29" s="19" t="s">
        <v>522</v>
      </c>
    </row>
    <row r="30" spans="1:5" x14ac:dyDescent="0.35">
      <c r="A30" s="20">
        <v>26</v>
      </c>
      <c r="B30" s="21" t="s">
        <v>878</v>
      </c>
      <c r="C30" s="20">
        <v>3</v>
      </c>
      <c r="D30" s="21" t="s">
        <v>523</v>
      </c>
      <c r="E30" s="21" t="s">
        <v>522</v>
      </c>
    </row>
    <row r="31" spans="1:5" x14ac:dyDescent="0.35">
      <c r="A31" s="18">
        <v>27</v>
      </c>
      <c r="B31" s="19" t="s">
        <v>1103</v>
      </c>
      <c r="C31" s="18">
        <v>4</v>
      </c>
      <c r="D31" s="19" t="s">
        <v>226</v>
      </c>
      <c r="E31" s="19" t="s">
        <v>225</v>
      </c>
    </row>
    <row r="32" spans="1:5" x14ac:dyDescent="0.35">
      <c r="A32" s="20">
        <v>28</v>
      </c>
      <c r="B32" s="21" t="s">
        <v>1102</v>
      </c>
      <c r="C32" s="20">
        <v>2</v>
      </c>
      <c r="D32" s="21" t="s">
        <v>482</v>
      </c>
      <c r="E32" s="21" t="s">
        <v>480</v>
      </c>
    </row>
    <row r="33" spans="1:5" x14ac:dyDescent="0.35">
      <c r="A33" s="18">
        <v>29</v>
      </c>
      <c r="B33" s="19" t="s">
        <v>190</v>
      </c>
      <c r="C33" s="18">
        <v>4</v>
      </c>
      <c r="D33" s="19" t="s">
        <v>44</v>
      </c>
      <c r="E33" s="19" t="s">
        <v>43</v>
      </c>
    </row>
    <row r="34" spans="1:5" x14ac:dyDescent="0.35">
      <c r="A34" s="20">
        <v>30</v>
      </c>
      <c r="B34" s="21" t="s">
        <v>507</v>
      </c>
      <c r="C34" s="20">
        <v>2</v>
      </c>
      <c r="D34" s="21" t="s">
        <v>44</v>
      </c>
      <c r="E34" s="21" t="s">
        <v>43</v>
      </c>
    </row>
    <row r="35" spans="1:5" x14ac:dyDescent="0.35">
      <c r="A35" s="18">
        <v>31</v>
      </c>
      <c r="B35" s="19" t="s">
        <v>541</v>
      </c>
      <c r="C35" s="18">
        <v>4</v>
      </c>
      <c r="D35" s="19" t="s">
        <v>523</v>
      </c>
      <c r="E35" s="19" t="s">
        <v>542</v>
      </c>
    </row>
    <row r="36" spans="1:5" x14ac:dyDescent="0.35">
      <c r="A36" s="20">
        <v>32</v>
      </c>
      <c r="B36" s="21" t="s">
        <v>966</v>
      </c>
      <c r="C36" s="20">
        <v>1</v>
      </c>
      <c r="D36" s="21" t="s">
        <v>523</v>
      </c>
      <c r="E36" s="21" t="s">
        <v>542</v>
      </c>
    </row>
    <row r="37" spans="1:5" x14ac:dyDescent="0.35">
      <c r="A37" s="18">
        <v>33</v>
      </c>
      <c r="B37" s="19" t="s">
        <v>215</v>
      </c>
      <c r="C37" s="18">
        <v>2</v>
      </c>
      <c r="D37" s="19" t="s">
        <v>218</v>
      </c>
      <c r="E37" s="19" t="s">
        <v>217</v>
      </c>
    </row>
    <row r="38" spans="1:5" x14ac:dyDescent="0.35">
      <c r="A38" s="20">
        <v>34</v>
      </c>
      <c r="B38" s="21" t="s">
        <v>964</v>
      </c>
      <c r="C38" s="20">
        <v>2</v>
      </c>
      <c r="D38" s="21" t="s">
        <v>218</v>
      </c>
      <c r="E38" s="21" t="s">
        <v>217</v>
      </c>
    </row>
    <row r="39" spans="1:5" x14ac:dyDescent="0.35">
      <c r="A39" s="18">
        <v>35</v>
      </c>
      <c r="B39" s="19" t="s">
        <v>1101</v>
      </c>
      <c r="C39" s="18">
        <v>1</v>
      </c>
      <c r="D39" s="19" t="s">
        <v>218</v>
      </c>
      <c r="E39" s="19" t="s">
        <v>217</v>
      </c>
    </row>
    <row r="40" spans="1:5" x14ac:dyDescent="0.35">
      <c r="A40" s="20">
        <v>36</v>
      </c>
      <c r="B40" s="21" t="s">
        <v>788</v>
      </c>
      <c r="C40" s="20">
        <v>4</v>
      </c>
      <c r="D40" s="21" t="s">
        <v>32</v>
      </c>
      <c r="E40" s="21" t="s">
        <v>31</v>
      </c>
    </row>
    <row r="41" spans="1:5" x14ac:dyDescent="0.35">
      <c r="A41" s="18">
        <v>37</v>
      </c>
      <c r="B41" s="19" t="s">
        <v>184</v>
      </c>
      <c r="C41" s="18">
        <v>14</v>
      </c>
      <c r="D41" s="19" t="s">
        <v>32</v>
      </c>
      <c r="E41" s="19" t="s">
        <v>31</v>
      </c>
    </row>
    <row r="42" spans="1:5" x14ac:dyDescent="0.35">
      <c r="A42" s="20">
        <v>38</v>
      </c>
      <c r="B42" s="21" t="s">
        <v>201</v>
      </c>
      <c r="C42" s="20">
        <v>8</v>
      </c>
      <c r="D42" s="21" t="s">
        <v>32</v>
      </c>
      <c r="E42" s="21" t="s">
        <v>31</v>
      </c>
    </row>
    <row r="43" spans="1:5" x14ac:dyDescent="0.35">
      <c r="A43" s="18">
        <v>39</v>
      </c>
      <c r="B43" s="19" t="s">
        <v>1099</v>
      </c>
      <c r="C43" s="18">
        <v>1</v>
      </c>
      <c r="D43" s="19" t="s">
        <v>711</v>
      </c>
      <c r="E43" s="19" t="s">
        <v>710</v>
      </c>
    </row>
    <row r="44" spans="1:5" x14ac:dyDescent="0.35">
      <c r="A44" s="20">
        <v>40</v>
      </c>
      <c r="B44" s="21" t="s">
        <v>539</v>
      </c>
      <c r="C44" s="20">
        <v>1</v>
      </c>
      <c r="D44" s="21" t="s">
        <v>456</v>
      </c>
      <c r="E44" s="21" t="s">
        <v>328</v>
      </c>
    </row>
    <row r="45" spans="1:5" x14ac:dyDescent="0.35">
      <c r="A45" s="18">
        <v>41</v>
      </c>
      <c r="B45" s="19" t="s">
        <v>487</v>
      </c>
      <c r="C45" s="18">
        <v>2</v>
      </c>
      <c r="D45" s="19" t="s">
        <v>456</v>
      </c>
      <c r="E45" s="19" t="s">
        <v>328</v>
      </c>
    </row>
    <row r="46" spans="1:5" x14ac:dyDescent="0.35">
      <c r="A46" s="20">
        <v>42</v>
      </c>
      <c r="B46" s="21" t="s">
        <v>1085</v>
      </c>
      <c r="C46" s="20">
        <v>1</v>
      </c>
      <c r="D46" s="21" t="s">
        <v>291</v>
      </c>
      <c r="E46" s="21" t="s">
        <v>290</v>
      </c>
    </row>
    <row r="47" spans="1:5" x14ac:dyDescent="0.35">
      <c r="A47" s="18">
        <v>43</v>
      </c>
      <c r="B47" s="19" t="s">
        <v>194</v>
      </c>
      <c r="C47" s="18">
        <v>1</v>
      </c>
      <c r="D47" s="19" t="s">
        <v>32</v>
      </c>
      <c r="E47" s="19" t="s">
        <v>31</v>
      </c>
    </row>
    <row r="48" spans="1:5" x14ac:dyDescent="0.35">
      <c r="A48" s="20">
        <v>44</v>
      </c>
      <c r="B48" s="21" t="s">
        <v>173</v>
      </c>
      <c r="C48" s="20">
        <v>8</v>
      </c>
      <c r="D48" s="21" t="s">
        <v>32</v>
      </c>
      <c r="E48" s="21" t="s">
        <v>31</v>
      </c>
    </row>
    <row r="49" spans="1:5" x14ac:dyDescent="0.35">
      <c r="A49" s="18">
        <v>45</v>
      </c>
      <c r="B49" s="19" t="s">
        <v>29</v>
      </c>
      <c r="C49" s="18">
        <v>6</v>
      </c>
      <c r="D49" s="19" t="s">
        <v>32</v>
      </c>
      <c r="E49" s="19" t="s">
        <v>31</v>
      </c>
    </row>
    <row r="50" spans="1:5" x14ac:dyDescent="0.35">
      <c r="A50" s="20">
        <v>46</v>
      </c>
      <c r="B50" s="21" t="s">
        <v>164</v>
      </c>
      <c r="C50" s="20">
        <v>28</v>
      </c>
      <c r="D50" s="21" t="s">
        <v>32</v>
      </c>
      <c r="E50" s="21" t="s">
        <v>31</v>
      </c>
    </row>
    <row r="51" spans="1:5" x14ac:dyDescent="0.35">
      <c r="A51" s="18">
        <v>47</v>
      </c>
      <c r="B51" s="19" t="s">
        <v>157</v>
      </c>
      <c r="C51" s="18">
        <v>4</v>
      </c>
      <c r="D51" s="19" t="s">
        <v>32</v>
      </c>
      <c r="E51" s="19" t="s">
        <v>31</v>
      </c>
    </row>
    <row r="52" spans="1:5" x14ac:dyDescent="0.35">
      <c r="A52" s="20">
        <v>48</v>
      </c>
      <c r="B52" s="21" t="s">
        <v>734</v>
      </c>
      <c r="C52" s="20">
        <v>6</v>
      </c>
      <c r="D52" s="21" t="s">
        <v>32</v>
      </c>
      <c r="E52" s="21" t="s">
        <v>31</v>
      </c>
    </row>
    <row r="53" spans="1:5" x14ac:dyDescent="0.35">
      <c r="A53" s="18">
        <v>49</v>
      </c>
      <c r="B53" s="19" t="s">
        <v>147</v>
      </c>
      <c r="C53" s="18">
        <v>1</v>
      </c>
      <c r="D53" s="19" t="s">
        <v>142</v>
      </c>
      <c r="E53" s="19" t="s">
        <v>141</v>
      </c>
    </row>
    <row r="54" spans="1:5" x14ac:dyDescent="0.35">
      <c r="A54" s="20">
        <v>50</v>
      </c>
      <c r="B54" s="21" t="s">
        <v>95</v>
      </c>
      <c r="C54" s="20">
        <v>4</v>
      </c>
      <c r="D54" s="21" t="s">
        <v>23</v>
      </c>
      <c r="E54" s="21" t="s">
        <v>21</v>
      </c>
    </row>
    <row r="55" spans="1:5" x14ac:dyDescent="0.35">
      <c r="A55" s="18">
        <v>51</v>
      </c>
      <c r="B55" s="19" t="s">
        <v>85</v>
      </c>
      <c r="C55" s="18">
        <v>4</v>
      </c>
      <c r="D55" s="19" t="s">
        <v>23</v>
      </c>
      <c r="E55" s="19" t="s">
        <v>21</v>
      </c>
    </row>
    <row r="56" spans="1:5" x14ac:dyDescent="0.35">
      <c r="A56" s="20">
        <v>52</v>
      </c>
      <c r="B56" s="21" t="s">
        <v>80</v>
      </c>
      <c r="C56" s="20">
        <v>4</v>
      </c>
      <c r="D56" s="21" t="s">
        <v>23</v>
      </c>
      <c r="E56" s="21" t="s">
        <v>21</v>
      </c>
    </row>
    <row r="57" spans="1:5" x14ac:dyDescent="0.35">
      <c r="A57" s="18">
        <v>53</v>
      </c>
      <c r="B57" s="19" t="s">
        <v>68</v>
      </c>
      <c r="C57" s="18">
        <v>2</v>
      </c>
      <c r="D57" s="19" t="s">
        <v>23</v>
      </c>
      <c r="E57" s="19" t="s">
        <v>21</v>
      </c>
    </row>
    <row r="58" spans="1:5" x14ac:dyDescent="0.35">
      <c r="A58" s="20">
        <v>54</v>
      </c>
      <c r="B58" s="21" t="s">
        <v>61</v>
      </c>
      <c r="C58" s="20">
        <v>4</v>
      </c>
      <c r="D58" s="21" t="s">
        <v>23</v>
      </c>
      <c r="E58" s="21" t="s">
        <v>21</v>
      </c>
    </row>
    <row r="59" spans="1:5" x14ac:dyDescent="0.35">
      <c r="A59" s="18">
        <v>55</v>
      </c>
      <c r="B59" s="19" t="s">
        <v>501</v>
      </c>
      <c r="C59" s="18">
        <v>8</v>
      </c>
      <c r="D59" s="19" t="s">
        <v>23</v>
      </c>
      <c r="E59" s="19" t="s">
        <v>21</v>
      </c>
    </row>
    <row r="60" spans="1:5" x14ac:dyDescent="0.35">
      <c r="A60" s="20">
        <v>56</v>
      </c>
      <c r="B60" s="21" t="s">
        <v>632</v>
      </c>
      <c r="C60" s="20">
        <v>4</v>
      </c>
      <c r="D60" s="21" t="s">
        <v>23</v>
      </c>
      <c r="E60" s="21" t="s">
        <v>21</v>
      </c>
    </row>
    <row r="61" spans="1:5" x14ac:dyDescent="0.35">
      <c r="A61" s="18">
        <v>57</v>
      </c>
      <c r="B61" s="19" t="s">
        <v>833</v>
      </c>
      <c r="C61" s="18">
        <v>1</v>
      </c>
      <c r="D61" s="19" t="s">
        <v>23</v>
      </c>
      <c r="E61" s="19" t="s">
        <v>21</v>
      </c>
    </row>
    <row r="62" spans="1:5" x14ac:dyDescent="0.35">
      <c r="A62" s="20">
        <v>58</v>
      </c>
      <c r="B62" s="21" t="s">
        <v>1014</v>
      </c>
      <c r="C62" s="20">
        <v>3</v>
      </c>
      <c r="D62" s="21" t="s">
        <v>23</v>
      </c>
      <c r="E62" s="21" t="s">
        <v>21</v>
      </c>
    </row>
    <row r="63" spans="1:5" x14ac:dyDescent="0.35">
      <c r="A63" s="18">
        <v>59</v>
      </c>
      <c r="B63" s="19" t="s">
        <v>490</v>
      </c>
      <c r="C63" s="18">
        <v>1</v>
      </c>
      <c r="D63" s="19" t="s">
        <v>23</v>
      </c>
      <c r="E63" s="19" t="s">
        <v>21</v>
      </c>
    </row>
    <row r="64" spans="1:5" x14ac:dyDescent="0.35">
      <c r="A64" s="20">
        <v>60</v>
      </c>
      <c r="B64" s="21" t="s">
        <v>460</v>
      </c>
      <c r="C64" s="20">
        <v>1</v>
      </c>
      <c r="D64" s="21" t="s">
        <v>23</v>
      </c>
      <c r="E64" s="21" t="s">
        <v>21</v>
      </c>
    </row>
    <row r="65" spans="1:5" x14ac:dyDescent="0.35">
      <c r="A65" s="18">
        <v>61</v>
      </c>
      <c r="B65" s="19" t="s">
        <v>435</v>
      </c>
      <c r="C65" s="18">
        <v>3</v>
      </c>
      <c r="D65" s="19" t="s">
        <v>18</v>
      </c>
      <c r="E65" s="19" t="s">
        <v>17</v>
      </c>
    </row>
    <row r="66" spans="1:5" ht="15" thickBot="1" x14ac:dyDescent="0.4">
      <c r="A66" s="38"/>
      <c r="B66" s="39"/>
      <c r="C66" s="22" t="s">
        <v>1384</v>
      </c>
      <c r="D66" s="23"/>
      <c r="E66" s="23"/>
    </row>
    <row r="67" spans="1:5" ht="15" thickTop="1" x14ac:dyDescent="0.35"/>
  </sheetData>
  <sortState xmlns:xlrd2="http://schemas.microsoft.com/office/spreadsheetml/2017/richdata2" ref="A5:H66">
    <sortCondition ref="A4:A66"/>
  </sortState>
  <mergeCells count="2">
    <mergeCell ref="A1:E1"/>
    <mergeCell ref="A2:H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C17" sqref="C17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9.65" customHeight="1" x14ac:dyDescent="0.3">
      <c r="A1" s="24" t="s">
        <v>197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198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1100</v>
      </c>
      <c r="C5" s="7" t="s">
        <v>801</v>
      </c>
      <c r="D5" s="7" t="s">
        <v>772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33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62" priority="1">
      <formula>G5="OUT OF STOCK"</formula>
    </cfRule>
    <cfRule type="expression" dxfId="61" priority="2">
      <formula>G5="REORDER"</formula>
    </cfRule>
    <cfRule type="expression" dxfId="6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4" sqref="F4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0.65" customHeight="1" x14ac:dyDescent="0.3">
      <c r="A1" s="24" t="s">
        <v>195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196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11">
        <v>1</v>
      </c>
      <c r="B5" s="12" t="s">
        <v>418</v>
      </c>
      <c r="C5" s="12" t="s">
        <v>22</v>
      </c>
      <c r="D5" s="12" t="s">
        <v>24</v>
      </c>
      <c r="E5" s="12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13">
        <v>2</v>
      </c>
      <c r="B6" s="14" t="s">
        <v>575</v>
      </c>
      <c r="C6" s="14" t="s">
        <v>297</v>
      </c>
      <c r="D6" s="14" t="s">
        <v>82</v>
      </c>
      <c r="E6" s="14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11">
        <v>3</v>
      </c>
      <c r="B7" s="12" t="s">
        <v>580</v>
      </c>
      <c r="C7" s="12" t="s">
        <v>578</v>
      </c>
      <c r="D7" s="12" t="s">
        <v>579</v>
      </c>
      <c r="E7" s="12">
        <v>4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13">
        <v>4</v>
      </c>
      <c r="B8" s="14" t="s">
        <v>582</v>
      </c>
      <c r="C8" s="14" t="s">
        <v>583</v>
      </c>
      <c r="D8" s="14" t="s">
        <v>584</v>
      </c>
      <c r="E8" s="14">
        <v>4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11">
        <v>5</v>
      </c>
      <c r="B9" s="12" t="s">
        <v>586</v>
      </c>
      <c r="C9" s="12" t="s">
        <v>476</v>
      </c>
      <c r="D9" s="12" t="s">
        <v>587</v>
      </c>
      <c r="E9" s="12">
        <v>4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13">
        <v>6</v>
      </c>
      <c r="B10" s="14" t="s">
        <v>589</v>
      </c>
      <c r="C10" s="14" t="s">
        <v>212</v>
      </c>
      <c r="D10" s="14" t="s">
        <v>214</v>
      </c>
      <c r="E10" s="14">
        <v>4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11">
        <v>7</v>
      </c>
      <c r="B11" s="12" t="s">
        <v>593</v>
      </c>
      <c r="C11" s="12" t="s">
        <v>81</v>
      </c>
      <c r="D11" s="12" t="s">
        <v>82</v>
      </c>
      <c r="E11" s="12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13">
        <v>8</v>
      </c>
      <c r="B12" s="14" t="s">
        <v>594</v>
      </c>
      <c r="C12" s="14" t="s">
        <v>530</v>
      </c>
      <c r="D12" s="14" t="s">
        <v>531</v>
      </c>
      <c r="E12" s="14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11">
        <v>9</v>
      </c>
      <c r="B13" s="12" t="s">
        <v>596</v>
      </c>
      <c r="C13" s="12" t="s">
        <v>559</v>
      </c>
      <c r="D13" s="12" t="s">
        <v>560</v>
      </c>
      <c r="E13" s="12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13">
        <v>10</v>
      </c>
      <c r="B14" s="14" t="s">
        <v>597</v>
      </c>
      <c r="C14" s="14" t="s">
        <v>583</v>
      </c>
      <c r="D14" s="14" t="s">
        <v>584</v>
      </c>
      <c r="E14" s="14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11">
        <v>11</v>
      </c>
      <c r="B15" s="12" t="s">
        <v>600</v>
      </c>
      <c r="C15" s="12" t="s">
        <v>384</v>
      </c>
      <c r="D15" s="12" t="s">
        <v>385</v>
      </c>
      <c r="E15" s="12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13">
        <v>12</v>
      </c>
      <c r="B16" s="14" t="s">
        <v>602</v>
      </c>
      <c r="C16" s="14" t="s">
        <v>81</v>
      </c>
      <c r="D16" s="14" t="s">
        <v>82</v>
      </c>
      <c r="E16" s="14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11">
        <v>13</v>
      </c>
      <c r="B17" s="12" t="s">
        <v>604</v>
      </c>
      <c r="C17" s="12" t="s">
        <v>212</v>
      </c>
      <c r="D17" s="12" t="s">
        <v>214</v>
      </c>
      <c r="E17" s="12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13">
        <v>14</v>
      </c>
      <c r="B18" s="14" t="s">
        <v>606</v>
      </c>
      <c r="C18" s="14" t="s">
        <v>138</v>
      </c>
      <c r="D18" s="14" t="s">
        <v>139</v>
      </c>
      <c r="E18" s="14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11">
        <v>15</v>
      </c>
      <c r="B19" s="12" t="s">
        <v>607</v>
      </c>
      <c r="C19" s="12" t="s">
        <v>303</v>
      </c>
      <c r="D19" s="12" t="s">
        <v>304</v>
      </c>
      <c r="E19" s="12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13">
        <v>16</v>
      </c>
      <c r="B20" s="14" t="s">
        <v>608</v>
      </c>
      <c r="C20" s="14" t="s">
        <v>433</v>
      </c>
      <c r="D20" s="14" t="s">
        <v>434</v>
      </c>
      <c r="E20" s="14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11">
        <v>17</v>
      </c>
      <c r="B21" s="12" t="s">
        <v>611</v>
      </c>
      <c r="C21" s="12" t="s">
        <v>612</v>
      </c>
      <c r="D21" s="12" t="s">
        <v>139</v>
      </c>
      <c r="E21" s="12">
        <v>8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13">
        <v>18</v>
      </c>
      <c r="B22" s="14" t="s">
        <v>613</v>
      </c>
      <c r="C22" s="14" t="s">
        <v>614</v>
      </c>
      <c r="D22" s="14" t="s">
        <v>538</v>
      </c>
      <c r="E22" s="14">
        <v>1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11">
        <v>19</v>
      </c>
      <c r="B23" s="12" t="s">
        <v>615</v>
      </c>
      <c r="C23" s="12" t="s">
        <v>616</v>
      </c>
      <c r="D23" s="12" t="s">
        <v>385</v>
      </c>
      <c r="E23" s="12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13">
        <v>20</v>
      </c>
      <c r="B24" s="14" t="s">
        <v>619</v>
      </c>
      <c r="C24" s="14" t="s">
        <v>522</v>
      </c>
      <c r="D24" s="14" t="s">
        <v>523</v>
      </c>
      <c r="E24" s="14">
        <v>4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11">
        <v>21</v>
      </c>
      <c r="B25" s="12" t="s">
        <v>623</v>
      </c>
      <c r="C25" s="12" t="s">
        <v>297</v>
      </c>
      <c r="D25" s="12" t="s">
        <v>82</v>
      </c>
      <c r="E25" s="12">
        <v>4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13">
        <v>22</v>
      </c>
      <c r="B26" s="14" t="s">
        <v>625</v>
      </c>
      <c r="C26" s="14" t="s">
        <v>626</v>
      </c>
      <c r="D26" s="14" t="s">
        <v>627</v>
      </c>
      <c r="E26" s="14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11">
        <v>23</v>
      </c>
      <c r="B27" s="12" t="s">
        <v>629</v>
      </c>
      <c r="C27" s="12" t="s">
        <v>81</v>
      </c>
      <c r="D27" s="12" t="s">
        <v>82</v>
      </c>
      <c r="E27" s="12">
        <v>1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13">
        <v>24</v>
      </c>
      <c r="B28" s="14" t="s">
        <v>630</v>
      </c>
      <c r="C28" s="14" t="s">
        <v>81</v>
      </c>
      <c r="D28" s="14" t="s">
        <v>82</v>
      </c>
      <c r="E28" s="14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11">
        <v>25</v>
      </c>
      <c r="B29" s="12" t="s">
        <v>637</v>
      </c>
      <c r="C29" s="12" t="s">
        <v>399</v>
      </c>
      <c r="D29" s="12" t="s">
        <v>400</v>
      </c>
      <c r="E29" s="12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13">
        <v>26</v>
      </c>
      <c r="B30" s="14" t="s">
        <v>1127</v>
      </c>
      <c r="C30" s="14" t="s">
        <v>1128</v>
      </c>
      <c r="D30" s="14" t="s">
        <v>1129</v>
      </c>
      <c r="E30" s="14">
        <v>4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11">
        <v>27</v>
      </c>
      <c r="B31" s="12" t="s">
        <v>1126</v>
      </c>
      <c r="C31" s="12" t="s">
        <v>1107</v>
      </c>
      <c r="D31" s="12" t="s">
        <v>1108</v>
      </c>
      <c r="E31" s="12">
        <v>4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13">
        <v>28</v>
      </c>
      <c r="B32" s="14" t="s">
        <v>1125</v>
      </c>
      <c r="C32" s="14" t="s">
        <v>924</v>
      </c>
      <c r="D32" s="14" t="s">
        <v>925</v>
      </c>
      <c r="E32" s="14">
        <v>4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11">
        <v>29</v>
      </c>
      <c r="B33" s="12" t="s">
        <v>1124</v>
      </c>
      <c r="C33" s="12" t="s">
        <v>680</v>
      </c>
      <c r="D33" s="12" t="s">
        <v>681</v>
      </c>
      <c r="E33" s="12">
        <v>4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13">
        <v>30</v>
      </c>
      <c r="B34" s="14" t="s">
        <v>1121</v>
      </c>
      <c r="C34" s="14" t="s">
        <v>1122</v>
      </c>
      <c r="D34" s="14" t="s">
        <v>1123</v>
      </c>
      <c r="E34" s="14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11">
        <v>31</v>
      </c>
      <c r="B35" s="12" t="s">
        <v>1120</v>
      </c>
      <c r="C35" s="12" t="s">
        <v>17</v>
      </c>
      <c r="D35" s="12" t="s">
        <v>18</v>
      </c>
      <c r="E35" s="12">
        <v>4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13">
        <v>32</v>
      </c>
      <c r="B36" s="14" t="s">
        <v>1117</v>
      </c>
      <c r="C36" s="14" t="s">
        <v>1118</v>
      </c>
      <c r="D36" s="14" t="s">
        <v>56</v>
      </c>
      <c r="E36" s="14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11">
        <v>33</v>
      </c>
      <c r="B37" s="12" t="s">
        <v>1113</v>
      </c>
      <c r="C37" s="12" t="s">
        <v>845</v>
      </c>
      <c r="D37" s="12" t="s">
        <v>685</v>
      </c>
      <c r="E37" s="12">
        <v>2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13">
        <v>34</v>
      </c>
      <c r="B38" s="14" t="s">
        <v>1110</v>
      </c>
      <c r="C38" s="14" t="s">
        <v>373</v>
      </c>
      <c r="D38" s="14" t="s">
        <v>374</v>
      </c>
      <c r="E38" s="14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11">
        <v>35</v>
      </c>
      <c r="B39" s="12" t="s">
        <v>1106</v>
      </c>
      <c r="C39" s="12" t="s">
        <v>1107</v>
      </c>
      <c r="D39" s="12" t="s">
        <v>1108</v>
      </c>
      <c r="E39" s="12">
        <v>4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13">
        <v>36</v>
      </c>
      <c r="B40" s="14" t="s">
        <v>1350</v>
      </c>
      <c r="C40" s="14" t="s">
        <v>399</v>
      </c>
      <c r="D40" s="14" t="s">
        <v>400</v>
      </c>
      <c r="E40" s="14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11">
        <v>37</v>
      </c>
      <c r="B41" s="12" t="s">
        <v>1351</v>
      </c>
      <c r="C41" s="12" t="s">
        <v>272</v>
      </c>
      <c r="D41" s="12" t="s">
        <v>273</v>
      </c>
      <c r="E41" s="12">
        <v>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13">
        <v>38</v>
      </c>
      <c r="B42" s="14" t="s">
        <v>1352</v>
      </c>
      <c r="C42" s="14" t="s">
        <v>1382</v>
      </c>
      <c r="D42" s="14" t="s">
        <v>1381</v>
      </c>
      <c r="E42" s="14">
        <v>2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11">
        <v>39</v>
      </c>
      <c r="B43" s="12" t="s">
        <v>601</v>
      </c>
      <c r="C43" s="12" t="s">
        <v>522</v>
      </c>
      <c r="D43" s="12" t="s">
        <v>523</v>
      </c>
      <c r="E43" s="12">
        <v>2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13">
        <v>40</v>
      </c>
      <c r="B44" s="14" t="s">
        <v>1353</v>
      </c>
      <c r="C44" s="14" t="s">
        <v>141</v>
      </c>
      <c r="D44" s="14" t="s">
        <v>142</v>
      </c>
      <c r="E44" s="14">
        <v>1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11">
        <v>41</v>
      </c>
      <c r="B45" s="12" t="s">
        <v>1354</v>
      </c>
      <c r="C45" s="12" t="s">
        <v>290</v>
      </c>
      <c r="D45" s="12" t="s">
        <v>291</v>
      </c>
      <c r="E45" s="12">
        <v>4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13">
        <v>42</v>
      </c>
      <c r="B46" s="14" t="s">
        <v>1355</v>
      </c>
      <c r="C46" s="14" t="s">
        <v>290</v>
      </c>
      <c r="D46" s="14" t="s">
        <v>291</v>
      </c>
      <c r="E46" s="14">
        <v>4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11">
        <v>43</v>
      </c>
      <c r="B47" s="12" t="s">
        <v>1356</v>
      </c>
      <c r="C47" s="12" t="s">
        <v>278</v>
      </c>
      <c r="D47" s="12" t="s">
        <v>279</v>
      </c>
      <c r="E47" s="12">
        <v>1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13">
        <v>44</v>
      </c>
      <c r="B48" s="14" t="s">
        <v>1357</v>
      </c>
      <c r="C48" s="14" t="s">
        <v>519</v>
      </c>
      <c r="D48" s="14" t="s">
        <v>520</v>
      </c>
      <c r="E48" s="14">
        <v>1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11">
        <v>45</v>
      </c>
      <c r="B49" s="12" t="s">
        <v>1358</v>
      </c>
      <c r="C49" s="12" t="s">
        <v>519</v>
      </c>
      <c r="D49" s="12" t="s">
        <v>520</v>
      </c>
      <c r="E49" s="12">
        <v>8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13">
        <v>46</v>
      </c>
      <c r="B50" s="14" t="s">
        <v>1359</v>
      </c>
      <c r="C50" s="14" t="s">
        <v>578</v>
      </c>
      <c r="D50" s="14" t="s">
        <v>579</v>
      </c>
      <c r="E50" s="14">
        <v>4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11">
        <v>47</v>
      </c>
      <c r="B51" s="12" t="s">
        <v>1360</v>
      </c>
      <c r="C51" s="12" t="s">
        <v>1107</v>
      </c>
      <c r="D51" s="12" t="s">
        <v>1108</v>
      </c>
      <c r="E51" s="12">
        <v>1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13">
        <v>48</v>
      </c>
      <c r="B52" s="14" t="s">
        <v>265</v>
      </c>
      <c r="C52" s="14" t="s">
        <v>266</v>
      </c>
      <c r="D52" s="14" t="s">
        <v>267</v>
      </c>
      <c r="E52" s="14">
        <v>2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11">
        <v>49</v>
      </c>
      <c r="B53" s="12" t="s">
        <v>830</v>
      </c>
      <c r="C53" s="12" t="s">
        <v>831</v>
      </c>
      <c r="D53" s="12" t="s">
        <v>832</v>
      </c>
      <c r="E53" s="12">
        <v>4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13">
        <v>50</v>
      </c>
      <c r="B54" s="14" t="s">
        <v>478</v>
      </c>
      <c r="C54" s="14" t="s">
        <v>43</v>
      </c>
      <c r="D54" s="14" t="s">
        <v>44</v>
      </c>
      <c r="E54" s="14">
        <v>2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11">
        <v>51</v>
      </c>
      <c r="B55" s="12" t="s">
        <v>1204</v>
      </c>
      <c r="C55" s="12" t="s">
        <v>43</v>
      </c>
      <c r="D55" s="12" t="s">
        <v>44</v>
      </c>
      <c r="E55" s="12">
        <v>1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13">
        <v>52</v>
      </c>
      <c r="B56" s="14" t="s">
        <v>1202</v>
      </c>
      <c r="C56" s="14" t="s">
        <v>43</v>
      </c>
      <c r="D56" s="14" t="s">
        <v>44</v>
      </c>
      <c r="E56" s="14">
        <v>1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11">
        <v>53</v>
      </c>
      <c r="B57" s="12" t="s">
        <v>1156</v>
      </c>
      <c r="C57" s="12" t="s">
        <v>614</v>
      </c>
      <c r="D57" s="12" t="s">
        <v>538</v>
      </c>
      <c r="E57" s="12">
        <v>2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13">
        <v>54</v>
      </c>
      <c r="B58" s="14" t="s">
        <v>1275</v>
      </c>
      <c r="C58" s="14" t="s">
        <v>474</v>
      </c>
      <c r="D58" s="14" t="s">
        <v>475</v>
      </c>
      <c r="E58" s="14">
        <v>2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11">
        <v>55</v>
      </c>
      <c r="B59" s="12" t="s">
        <v>473</v>
      </c>
      <c r="C59" s="12" t="s">
        <v>474</v>
      </c>
      <c r="D59" s="12" t="s">
        <v>475</v>
      </c>
      <c r="E59" s="12">
        <v>1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13">
        <v>56</v>
      </c>
      <c r="B60" s="14" t="s">
        <v>822</v>
      </c>
      <c r="C60" s="14" t="s">
        <v>823</v>
      </c>
      <c r="D60" s="14" t="s">
        <v>824</v>
      </c>
      <c r="E60" s="14">
        <v>4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11">
        <v>57</v>
      </c>
      <c r="B61" s="12" t="s">
        <v>868</v>
      </c>
      <c r="C61" s="12" t="s">
        <v>469</v>
      </c>
      <c r="D61" s="12" t="s">
        <v>470</v>
      </c>
      <c r="E61" s="12">
        <v>4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13">
        <v>58</v>
      </c>
      <c r="B62" s="14" t="s">
        <v>943</v>
      </c>
      <c r="C62" s="14" t="s">
        <v>469</v>
      </c>
      <c r="D62" s="14" t="s">
        <v>470</v>
      </c>
      <c r="E62" s="14">
        <v>5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11">
        <v>59</v>
      </c>
      <c r="B63" s="12" t="s">
        <v>1361</v>
      </c>
      <c r="C63" s="12" t="s">
        <v>1140</v>
      </c>
      <c r="D63" s="12" t="s">
        <v>92</v>
      </c>
      <c r="E63" s="12">
        <v>5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13">
        <v>60</v>
      </c>
      <c r="B64" s="14" t="s">
        <v>1362</v>
      </c>
      <c r="C64" s="14" t="s">
        <v>217</v>
      </c>
      <c r="D64" s="14" t="s">
        <v>218</v>
      </c>
      <c r="E64" s="14">
        <v>12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11">
        <v>61</v>
      </c>
      <c r="B65" s="12" t="s">
        <v>493</v>
      </c>
      <c r="C65" s="12" t="s">
        <v>217</v>
      </c>
      <c r="D65" s="12" t="s">
        <v>218</v>
      </c>
      <c r="E65" s="12">
        <v>5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13">
        <v>62</v>
      </c>
      <c r="B66" s="14" t="s">
        <v>459</v>
      </c>
      <c r="C66" s="14" t="s">
        <v>31</v>
      </c>
      <c r="D66" s="14" t="s">
        <v>32</v>
      </c>
      <c r="E66" s="14">
        <v>6</v>
      </c>
    </row>
    <row r="67" spans="1:10" ht="15.75" customHeight="1" x14ac:dyDescent="0.3">
      <c r="A67" s="11">
        <v>63</v>
      </c>
      <c r="B67" s="12" t="s">
        <v>458</v>
      </c>
      <c r="C67" s="12" t="s">
        <v>31</v>
      </c>
      <c r="D67" s="12" t="s">
        <v>32</v>
      </c>
      <c r="E67" s="12">
        <v>1</v>
      </c>
    </row>
    <row r="68" spans="1:10" ht="15.75" customHeight="1" x14ac:dyDescent="0.3">
      <c r="A68" s="13">
        <v>64</v>
      </c>
      <c r="B68" s="14" t="s">
        <v>788</v>
      </c>
      <c r="C68" s="14" t="s">
        <v>31</v>
      </c>
      <c r="D68" s="14" t="s">
        <v>32</v>
      </c>
      <c r="E68" s="14">
        <v>2</v>
      </c>
    </row>
    <row r="69" spans="1:10" ht="15.75" customHeight="1" x14ac:dyDescent="0.3">
      <c r="A69" s="11">
        <v>65</v>
      </c>
      <c r="B69" s="12" t="s">
        <v>184</v>
      </c>
      <c r="C69" s="12" t="s">
        <v>31</v>
      </c>
      <c r="D69" s="12" t="s">
        <v>32</v>
      </c>
      <c r="E69" s="12">
        <v>14</v>
      </c>
    </row>
    <row r="70" spans="1:10" ht="15.75" customHeight="1" x14ac:dyDescent="0.3">
      <c r="A70" s="13">
        <v>66</v>
      </c>
      <c r="B70" s="14" t="s">
        <v>201</v>
      </c>
      <c r="C70" s="14" t="s">
        <v>31</v>
      </c>
      <c r="D70" s="14" t="s">
        <v>32</v>
      </c>
      <c r="E70" s="14">
        <v>13</v>
      </c>
    </row>
    <row r="71" spans="1:10" ht="15.75" customHeight="1" x14ac:dyDescent="0.3">
      <c r="A71" s="11">
        <v>67</v>
      </c>
      <c r="B71" s="12" t="s">
        <v>455</v>
      </c>
      <c r="C71" s="12" t="s">
        <v>328</v>
      </c>
      <c r="D71" s="12" t="s">
        <v>456</v>
      </c>
      <c r="E71" s="12">
        <v>4</v>
      </c>
    </row>
    <row r="72" spans="1:10" ht="15.75" customHeight="1" x14ac:dyDescent="0.3">
      <c r="A72" s="13">
        <v>68</v>
      </c>
      <c r="B72" s="14" t="s">
        <v>487</v>
      </c>
      <c r="C72" s="14" t="s">
        <v>328</v>
      </c>
      <c r="D72" s="14" t="s">
        <v>456</v>
      </c>
      <c r="E72" s="14">
        <v>1</v>
      </c>
    </row>
    <row r="73" spans="1:10" ht="15.75" customHeight="1" x14ac:dyDescent="0.3">
      <c r="A73" s="11">
        <v>69</v>
      </c>
      <c r="B73" s="12" t="s">
        <v>1363</v>
      </c>
      <c r="C73" s="12" t="s">
        <v>290</v>
      </c>
      <c r="D73" s="12" t="s">
        <v>291</v>
      </c>
      <c r="E73" s="12">
        <v>1</v>
      </c>
    </row>
    <row r="74" spans="1:10" ht="15.75" customHeight="1" x14ac:dyDescent="0.3">
      <c r="A74" s="13">
        <v>70</v>
      </c>
      <c r="B74" s="14" t="s">
        <v>1364</v>
      </c>
      <c r="C74" s="14" t="s">
        <v>290</v>
      </c>
      <c r="D74" s="14" t="s">
        <v>291</v>
      </c>
      <c r="E74" s="14">
        <v>4</v>
      </c>
    </row>
    <row r="75" spans="1:10" ht="15.75" customHeight="1" x14ac:dyDescent="0.3">
      <c r="A75" s="11">
        <v>71</v>
      </c>
      <c r="B75" s="12" t="s">
        <v>1365</v>
      </c>
      <c r="C75" s="12" t="s">
        <v>290</v>
      </c>
      <c r="D75" s="12" t="s">
        <v>291</v>
      </c>
      <c r="E75" s="12">
        <v>8</v>
      </c>
    </row>
    <row r="76" spans="1:10" ht="15.75" customHeight="1" x14ac:dyDescent="0.3">
      <c r="A76" s="13">
        <v>72</v>
      </c>
      <c r="B76" s="14" t="s">
        <v>194</v>
      </c>
      <c r="C76" s="14" t="s">
        <v>31</v>
      </c>
      <c r="D76" s="14" t="s">
        <v>32</v>
      </c>
      <c r="E76" s="14">
        <v>2</v>
      </c>
    </row>
    <row r="77" spans="1:10" ht="15.75" customHeight="1" x14ac:dyDescent="0.3">
      <c r="A77" s="11">
        <v>73</v>
      </c>
      <c r="B77" s="12" t="s">
        <v>1366</v>
      </c>
      <c r="C77" s="12" t="s">
        <v>31</v>
      </c>
      <c r="D77" s="12" t="s">
        <v>32</v>
      </c>
      <c r="E77" s="12">
        <v>8</v>
      </c>
    </row>
    <row r="78" spans="1:10" ht="15.75" customHeight="1" x14ac:dyDescent="0.3">
      <c r="A78" s="13">
        <v>74</v>
      </c>
      <c r="B78" s="14" t="s">
        <v>451</v>
      </c>
      <c r="C78" s="14" t="s">
        <v>31</v>
      </c>
      <c r="D78" s="14" t="s">
        <v>32</v>
      </c>
      <c r="E78" s="14">
        <v>1</v>
      </c>
    </row>
    <row r="79" spans="1:10" ht="15.75" customHeight="1" x14ac:dyDescent="0.3">
      <c r="A79" s="11">
        <v>75</v>
      </c>
      <c r="B79" s="12" t="s">
        <v>186</v>
      </c>
      <c r="C79" s="12" t="s">
        <v>31</v>
      </c>
      <c r="D79" s="12" t="s">
        <v>32</v>
      </c>
      <c r="E79" s="12">
        <v>1</v>
      </c>
    </row>
    <row r="80" spans="1:10" ht="15.75" customHeight="1" x14ac:dyDescent="0.3">
      <c r="A80" s="13">
        <v>76</v>
      </c>
      <c r="B80" s="14" t="s">
        <v>1367</v>
      </c>
      <c r="C80" s="14" t="s">
        <v>31</v>
      </c>
      <c r="D80" s="14" t="s">
        <v>32</v>
      </c>
      <c r="E80" s="14">
        <v>2</v>
      </c>
    </row>
    <row r="81" spans="1:5" ht="15.75" customHeight="1" x14ac:dyDescent="0.3">
      <c r="A81" s="11">
        <v>77</v>
      </c>
      <c r="B81" s="12" t="s">
        <v>382</v>
      </c>
      <c r="C81" s="12" t="s">
        <v>31</v>
      </c>
      <c r="D81" s="12" t="s">
        <v>32</v>
      </c>
      <c r="E81" s="12">
        <v>6</v>
      </c>
    </row>
    <row r="82" spans="1:5" ht="15.75" customHeight="1" x14ac:dyDescent="0.3">
      <c r="A82" s="13">
        <v>78</v>
      </c>
      <c r="B82" s="14" t="s">
        <v>173</v>
      </c>
      <c r="C82" s="14" t="s">
        <v>31</v>
      </c>
      <c r="D82" s="14" t="s">
        <v>32</v>
      </c>
      <c r="E82" s="14">
        <v>8</v>
      </c>
    </row>
    <row r="83" spans="1:5" ht="15.75" customHeight="1" x14ac:dyDescent="0.3">
      <c r="A83" s="11">
        <v>79</v>
      </c>
      <c r="B83" s="12" t="s">
        <v>164</v>
      </c>
      <c r="C83" s="12" t="s">
        <v>31</v>
      </c>
      <c r="D83" s="12" t="s">
        <v>32</v>
      </c>
      <c r="E83" s="12">
        <v>8</v>
      </c>
    </row>
    <row r="84" spans="1:5" ht="15.75" customHeight="1" x14ac:dyDescent="0.3">
      <c r="A84" s="13">
        <v>80</v>
      </c>
      <c r="B84" s="14" t="s">
        <v>935</v>
      </c>
      <c r="C84" s="14" t="s">
        <v>31</v>
      </c>
      <c r="D84" s="14" t="s">
        <v>32</v>
      </c>
      <c r="E84" s="14">
        <v>16</v>
      </c>
    </row>
    <row r="85" spans="1:5" ht="15.75" customHeight="1" x14ac:dyDescent="0.3">
      <c r="A85" s="11">
        <v>81</v>
      </c>
      <c r="B85" s="12" t="s">
        <v>157</v>
      </c>
      <c r="C85" s="12" t="s">
        <v>31</v>
      </c>
      <c r="D85" s="12" t="s">
        <v>32</v>
      </c>
      <c r="E85" s="12">
        <v>9</v>
      </c>
    </row>
    <row r="86" spans="1:5" ht="15.75" customHeight="1" x14ac:dyDescent="0.3">
      <c r="A86" s="13">
        <v>82</v>
      </c>
      <c r="B86" s="14" t="s">
        <v>734</v>
      </c>
      <c r="C86" s="14" t="s">
        <v>31</v>
      </c>
      <c r="D86" s="14" t="s">
        <v>32</v>
      </c>
      <c r="E86" s="14">
        <v>16</v>
      </c>
    </row>
    <row r="87" spans="1:5" ht="15.75" customHeight="1" x14ac:dyDescent="0.3">
      <c r="A87" s="11">
        <v>83</v>
      </c>
      <c r="B87" s="12" t="s">
        <v>1368</v>
      </c>
      <c r="C87" s="12" t="s">
        <v>328</v>
      </c>
      <c r="D87" s="12" t="s">
        <v>329</v>
      </c>
      <c r="E87" s="12">
        <v>8</v>
      </c>
    </row>
    <row r="88" spans="1:5" ht="15.75" customHeight="1" x14ac:dyDescent="0.3">
      <c r="A88" s="13">
        <v>84</v>
      </c>
      <c r="B88" s="14" t="s">
        <v>1369</v>
      </c>
      <c r="C88" s="14" t="s">
        <v>328</v>
      </c>
      <c r="D88" s="14" t="s">
        <v>329</v>
      </c>
      <c r="E88" s="14">
        <v>4</v>
      </c>
    </row>
    <row r="89" spans="1:5" ht="15.75" customHeight="1" x14ac:dyDescent="0.3">
      <c r="A89" s="11">
        <v>85</v>
      </c>
      <c r="B89" s="12" t="s">
        <v>1370</v>
      </c>
      <c r="C89" s="12" t="s">
        <v>92</v>
      </c>
      <c r="D89" s="12" t="s">
        <v>92</v>
      </c>
      <c r="E89" s="12">
        <v>13</v>
      </c>
    </row>
    <row r="90" spans="1:5" ht="15.75" customHeight="1" x14ac:dyDescent="0.3">
      <c r="A90" s="13">
        <v>86</v>
      </c>
      <c r="B90" s="14" t="s">
        <v>1371</v>
      </c>
      <c r="C90" s="14" t="s">
        <v>290</v>
      </c>
      <c r="D90" s="14" t="s">
        <v>291</v>
      </c>
      <c r="E90" s="14">
        <v>12</v>
      </c>
    </row>
    <row r="91" spans="1:5" ht="15.75" customHeight="1" x14ac:dyDescent="0.3">
      <c r="A91" s="11">
        <v>87</v>
      </c>
      <c r="B91" s="12" t="s">
        <v>1372</v>
      </c>
      <c r="C91" s="12" t="s">
        <v>328</v>
      </c>
      <c r="D91" s="12" t="s">
        <v>329</v>
      </c>
      <c r="E91" s="12">
        <v>1</v>
      </c>
    </row>
    <row r="92" spans="1:5" ht="15.75" customHeight="1" x14ac:dyDescent="0.3">
      <c r="A92" s="13">
        <v>88</v>
      </c>
      <c r="B92" s="14" t="s">
        <v>1373</v>
      </c>
      <c r="C92" s="14" t="s">
        <v>92</v>
      </c>
      <c r="D92" s="14" t="s">
        <v>92</v>
      </c>
      <c r="E92" s="14">
        <v>8</v>
      </c>
    </row>
    <row r="93" spans="1:5" ht="15.75" customHeight="1" x14ac:dyDescent="0.3">
      <c r="A93" s="11">
        <v>89</v>
      </c>
      <c r="B93" s="12" t="s">
        <v>1374</v>
      </c>
      <c r="C93" s="12" t="s">
        <v>290</v>
      </c>
      <c r="D93" s="12" t="s">
        <v>291</v>
      </c>
      <c r="E93" s="12">
        <v>8</v>
      </c>
    </row>
    <row r="94" spans="1:5" ht="15.75" customHeight="1" x14ac:dyDescent="0.3">
      <c r="A94" s="13">
        <v>90</v>
      </c>
      <c r="B94" s="14" t="s">
        <v>1375</v>
      </c>
      <c r="C94" s="14" t="s">
        <v>924</v>
      </c>
      <c r="D94" s="14" t="s">
        <v>925</v>
      </c>
      <c r="E94" s="14">
        <v>1</v>
      </c>
    </row>
    <row r="95" spans="1:5" ht="15.75" customHeight="1" x14ac:dyDescent="0.3">
      <c r="A95" s="11">
        <v>91</v>
      </c>
      <c r="B95" s="12" t="s">
        <v>1376</v>
      </c>
      <c r="C95" s="12" t="s">
        <v>924</v>
      </c>
      <c r="D95" s="12" t="s">
        <v>925</v>
      </c>
      <c r="E95" s="12">
        <v>1</v>
      </c>
    </row>
    <row r="96" spans="1:5" ht="15.75" customHeight="1" x14ac:dyDescent="0.3">
      <c r="A96" s="13">
        <v>92</v>
      </c>
      <c r="B96" s="14" t="s">
        <v>20</v>
      </c>
      <c r="C96" s="14" t="s">
        <v>21</v>
      </c>
      <c r="D96" s="14" t="s">
        <v>23</v>
      </c>
      <c r="E96" s="14">
        <v>4</v>
      </c>
    </row>
    <row r="97" spans="1:5" ht="15.75" customHeight="1" x14ac:dyDescent="0.3">
      <c r="A97" s="11">
        <v>93</v>
      </c>
      <c r="B97" s="12" t="s">
        <v>107</v>
      </c>
      <c r="C97" s="12" t="s">
        <v>21</v>
      </c>
      <c r="D97" s="12" t="s">
        <v>23</v>
      </c>
      <c r="E97" s="12">
        <v>4</v>
      </c>
    </row>
    <row r="98" spans="1:5" ht="15.75" customHeight="1" x14ac:dyDescent="0.3">
      <c r="A98" s="13">
        <v>94</v>
      </c>
      <c r="B98" s="14" t="s">
        <v>100</v>
      </c>
      <c r="C98" s="14" t="s">
        <v>21</v>
      </c>
      <c r="D98" s="14" t="s">
        <v>23</v>
      </c>
      <c r="E98" s="14">
        <v>8</v>
      </c>
    </row>
    <row r="99" spans="1:5" ht="15.75" customHeight="1" x14ac:dyDescent="0.3">
      <c r="A99" s="11">
        <v>95</v>
      </c>
      <c r="B99" s="12" t="s">
        <v>1377</v>
      </c>
      <c r="C99" s="12" t="s">
        <v>21</v>
      </c>
      <c r="D99" s="12" t="s">
        <v>23</v>
      </c>
      <c r="E99" s="12">
        <v>2</v>
      </c>
    </row>
    <row r="100" spans="1:5" ht="15.75" customHeight="1" x14ac:dyDescent="0.3">
      <c r="A100" s="13">
        <v>96</v>
      </c>
      <c r="B100" s="14" t="s">
        <v>714</v>
      </c>
      <c r="C100" s="14" t="s">
        <v>21</v>
      </c>
      <c r="D100" s="14" t="s">
        <v>23</v>
      </c>
      <c r="E100" s="14">
        <v>2</v>
      </c>
    </row>
    <row r="101" spans="1:5" ht="15.75" customHeight="1" x14ac:dyDescent="0.3">
      <c r="A101" s="11">
        <v>97</v>
      </c>
      <c r="B101" s="12" t="s">
        <v>1378</v>
      </c>
      <c r="C101" s="12" t="s">
        <v>21</v>
      </c>
      <c r="D101" s="12" t="s">
        <v>23</v>
      </c>
      <c r="E101" s="12">
        <v>4</v>
      </c>
    </row>
    <row r="102" spans="1:5" ht="15.75" customHeight="1" x14ac:dyDescent="0.3">
      <c r="A102" s="13">
        <v>98</v>
      </c>
      <c r="B102" s="14" t="s">
        <v>80</v>
      </c>
      <c r="C102" s="14" t="s">
        <v>21</v>
      </c>
      <c r="D102" s="14" t="s">
        <v>23</v>
      </c>
      <c r="E102" s="14">
        <v>4</v>
      </c>
    </row>
    <row r="103" spans="1:5" ht="15.75" customHeight="1" x14ac:dyDescent="0.3">
      <c r="A103" s="11">
        <v>99</v>
      </c>
      <c r="B103" s="12" t="s">
        <v>812</v>
      </c>
      <c r="C103" s="12" t="s">
        <v>21</v>
      </c>
      <c r="D103" s="12" t="s">
        <v>23</v>
      </c>
      <c r="E103" s="12">
        <v>12</v>
      </c>
    </row>
    <row r="104" spans="1:5" ht="15.75" customHeight="1" x14ac:dyDescent="0.3">
      <c r="A104" s="13">
        <v>100</v>
      </c>
      <c r="B104" s="14" t="s">
        <v>632</v>
      </c>
      <c r="C104" s="14" t="s">
        <v>21</v>
      </c>
      <c r="D104" s="14" t="s">
        <v>23</v>
      </c>
      <c r="E104" s="14">
        <v>2</v>
      </c>
    </row>
    <row r="105" spans="1:5" ht="15.75" customHeight="1" x14ac:dyDescent="0.3">
      <c r="A105" s="11">
        <v>101</v>
      </c>
      <c r="B105" s="12" t="s">
        <v>40</v>
      </c>
      <c r="C105" s="12" t="s">
        <v>21</v>
      </c>
      <c r="D105" s="12" t="s">
        <v>23</v>
      </c>
      <c r="E105" s="12">
        <v>5</v>
      </c>
    </row>
    <row r="106" spans="1:5" ht="15.75" customHeight="1" x14ac:dyDescent="0.3">
      <c r="A106" s="13">
        <v>102</v>
      </c>
      <c r="B106" s="14" t="s">
        <v>1014</v>
      </c>
      <c r="C106" s="14" t="s">
        <v>21</v>
      </c>
      <c r="D106" s="14" t="s">
        <v>23</v>
      </c>
      <c r="E106" s="14">
        <v>4</v>
      </c>
    </row>
    <row r="107" spans="1:5" ht="15.75" customHeight="1" x14ac:dyDescent="0.3">
      <c r="A107" s="11">
        <v>103</v>
      </c>
      <c r="B107" s="12" t="s">
        <v>490</v>
      </c>
      <c r="C107" s="12" t="s">
        <v>21</v>
      </c>
      <c r="D107" s="12" t="s">
        <v>23</v>
      </c>
      <c r="E107" s="12">
        <v>4</v>
      </c>
    </row>
    <row r="108" spans="1:5" ht="15.75" customHeight="1" x14ac:dyDescent="0.3">
      <c r="A108" s="13">
        <v>104</v>
      </c>
      <c r="B108" s="14" t="s">
        <v>435</v>
      </c>
      <c r="C108" s="14" t="s">
        <v>17</v>
      </c>
      <c r="D108" s="14" t="s">
        <v>18</v>
      </c>
      <c r="E108" s="14">
        <v>5</v>
      </c>
    </row>
    <row r="109" spans="1:5" ht="15.75" customHeight="1" x14ac:dyDescent="0.3">
      <c r="A109" s="11">
        <v>105</v>
      </c>
      <c r="B109" s="12" t="s">
        <v>1379</v>
      </c>
      <c r="C109" s="12" t="s">
        <v>17</v>
      </c>
      <c r="D109" s="12" t="s">
        <v>18</v>
      </c>
      <c r="E109" s="12">
        <v>5</v>
      </c>
    </row>
    <row r="110" spans="1:5" ht="15.75" customHeight="1" x14ac:dyDescent="0.3">
      <c r="A110" s="13">
        <v>106</v>
      </c>
      <c r="B110" s="14" t="s">
        <v>1380</v>
      </c>
      <c r="C110" s="14" t="s">
        <v>17</v>
      </c>
      <c r="D110" s="14" t="s">
        <v>18</v>
      </c>
      <c r="E110" s="14">
        <v>8</v>
      </c>
    </row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5" xr:uid="{00000000-0009-0000-0000-000032000000}">
    <sortState xmlns:xlrd2="http://schemas.microsoft.com/office/spreadsheetml/2017/richdata2" ref="A5:H65">
      <sortCondition ref="A4:A65"/>
    </sortState>
  </autoFilter>
  <mergeCells count="2">
    <mergeCell ref="A1:H1"/>
    <mergeCell ref="A2:H2"/>
  </mergeCells>
  <conditionalFormatting sqref="G5:G65">
    <cfRule type="expression" dxfId="59" priority="1">
      <formula>G5="OUT OF STOCK"</formula>
    </cfRule>
    <cfRule type="expression" dxfId="58" priority="2">
      <formula>G5="REORDER"</formula>
    </cfRule>
    <cfRule type="expression" dxfId="5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0" customHeight="1" x14ac:dyDescent="0.3">
      <c r="A1" s="24" t="s">
        <v>204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205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288</v>
      </c>
      <c r="C5" s="7" t="s">
        <v>72</v>
      </c>
      <c r="D5" s="7" t="s">
        <v>73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553</v>
      </c>
      <c r="C6" s="8" t="s">
        <v>138</v>
      </c>
      <c r="D6" s="8" t="s">
        <v>139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631</v>
      </c>
      <c r="C7" s="7" t="s">
        <v>212</v>
      </c>
      <c r="D7" s="7" t="s">
        <v>214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633</v>
      </c>
      <c r="C8" s="8" t="s">
        <v>141</v>
      </c>
      <c r="D8" s="8" t="s">
        <v>142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635</v>
      </c>
      <c r="C9" s="7" t="s">
        <v>591</v>
      </c>
      <c r="D9" s="7" t="s">
        <v>523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636</v>
      </c>
      <c r="C10" s="8" t="s">
        <v>297</v>
      </c>
      <c r="D10" s="8" t="s">
        <v>82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637</v>
      </c>
      <c r="C11" s="7" t="s">
        <v>399</v>
      </c>
      <c r="D11" s="7" t="s">
        <v>400</v>
      </c>
      <c r="E11" s="7">
        <v>4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638</v>
      </c>
      <c r="C12" s="8" t="s">
        <v>81</v>
      </c>
      <c r="D12" s="8" t="s">
        <v>82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643</v>
      </c>
      <c r="C13" s="7" t="s">
        <v>644</v>
      </c>
      <c r="D13" s="7" t="s">
        <v>645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932</v>
      </c>
      <c r="C14" s="8" t="s">
        <v>31</v>
      </c>
      <c r="D14" s="8" t="s">
        <v>32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930</v>
      </c>
      <c r="C15" s="7" t="s">
        <v>138</v>
      </c>
      <c r="D15" s="7" t="s">
        <v>139</v>
      </c>
      <c r="E15" s="7">
        <v>1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1093</v>
      </c>
      <c r="C16" s="8" t="s">
        <v>17</v>
      </c>
      <c r="D16" s="8" t="s">
        <v>18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1096</v>
      </c>
      <c r="C17" s="7" t="s">
        <v>913</v>
      </c>
      <c r="D17" s="7" t="s">
        <v>914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1161</v>
      </c>
      <c r="C18" s="8" t="s">
        <v>913</v>
      </c>
      <c r="D18" s="8" t="s">
        <v>914</v>
      </c>
      <c r="E18" s="8">
        <v>1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1163</v>
      </c>
      <c r="C19" s="7" t="s">
        <v>138</v>
      </c>
      <c r="D19" s="7" t="s">
        <v>139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1168</v>
      </c>
      <c r="C20" s="8" t="s">
        <v>272</v>
      </c>
      <c r="D20" s="8" t="s">
        <v>273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1067</v>
      </c>
      <c r="C21" s="7" t="s">
        <v>522</v>
      </c>
      <c r="D21" s="7" t="s">
        <v>523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1167</v>
      </c>
      <c r="C22" s="8" t="s">
        <v>43</v>
      </c>
      <c r="D22" s="8" t="s">
        <v>44</v>
      </c>
      <c r="E22" s="8">
        <v>4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507</v>
      </c>
      <c r="C23" s="7" t="s">
        <v>43</v>
      </c>
      <c r="D23" s="7" t="s">
        <v>44</v>
      </c>
      <c r="E23" s="7">
        <v>3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1164</v>
      </c>
      <c r="C24" s="8" t="s">
        <v>1165</v>
      </c>
      <c r="D24" s="8" t="s">
        <v>1166</v>
      </c>
      <c r="E24" s="8">
        <v>2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1162</v>
      </c>
      <c r="C25" s="7" t="s">
        <v>141</v>
      </c>
      <c r="D25" s="7" t="s">
        <v>142</v>
      </c>
      <c r="E25" s="7">
        <v>2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1160</v>
      </c>
      <c r="C26" s="8" t="s">
        <v>614</v>
      </c>
      <c r="D26" s="8" t="s">
        <v>538</v>
      </c>
      <c r="E26" s="8">
        <v>1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1158</v>
      </c>
      <c r="C27" s="7" t="s">
        <v>614</v>
      </c>
      <c r="D27" s="7" t="s">
        <v>538</v>
      </c>
      <c r="E27" s="7">
        <v>3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1156</v>
      </c>
      <c r="C28" s="8" t="s">
        <v>614</v>
      </c>
      <c r="D28" s="8" t="s">
        <v>538</v>
      </c>
      <c r="E28" s="8">
        <v>1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1155</v>
      </c>
      <c r="C29" s="7" t="s">
        <v>474</v>
      </c>
      <c r="D29" s="7" t="s">
        <v>475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1154</v>
      </c>
      <c r="C30" s="8" t="s">
        <v>474</v>
      </c>
      <c r="D30" s="8" t="s">
        <v>475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1153</v>
      </c>
      <c r="C31" s="7" t="s">
        <v>91</v>
      </c>
      <c r="D31" s="7" t="s">
        <v>92</v>
      </c>
      <c r="E31" s="7">
        <v>1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1151</v>
      </c>
      <c r="C32" s="8" t="s">
        <v>72</v>
      </c>
      <c r="D32" s="8" t="s">
        <v>73</v>
      </c>
      <c r="E32" s="8">
        <v>2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1150</v>
      </c>
      <c r="C33" s="7" t="s">
        <v>72</v>
      </c>
      <c r="D33" s="7" t="s">
        <v>73</v>
      </c>
      <c r="E33" s="7">
        <v>1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1149</v>
      </c>
      <c r="C34" s="8" t="s">
        <v>217</v>
      </c>
      <c r="D34" s="8" t="s">
        <v>218</v>
      </c>
      <c r="E34" s="8">
        <v>1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1146</v>
      </c>
      <c r="C35" s="7" t="s">
        <v>1147</v>
      </c>
      <c r="D35" s="7" t="s">
        <v>1148</v>
      </c>
      <c r="E35" s="7">
        <v>1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1143</v>
      </c>
      <c r="C36" s="8" t="s">
        <v>1144</v>
      </c>
      <c r="D36" s="8" t="s">
        <v>1145</v>
      </c>
      <c r="E36" s="8">
        <v>1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1142</v>
      </c>
      <c r="C37" s="7" t="s">
        <v>469</v>
      </c>
      <c r="D37" s="7" t="s">
        <v>470</v>
      </c>
      <c r="E37" s="7">
        <v>8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1141</v>
      </c>
      <c r="C38" s="8" t="s">
        <v>946</v>
      </c>
      <c r="D38" s="8" t="s">
        <v>947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1139</v>
      </c>
      <c r="C39" s="7" t="s">
        <v>1140</v>
      </c>
      <c r="D39" s="7" t="s">
        <v>92</v>
      </c>
      <c r="E39" s="7">
        <v>3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1138</v>
      </c>
      <c r="C40" s="8" t="s">
        <v>614</v>
      </c>
      <c r="D40" s="8" t="s">
        <v>538</v>
      </c>
      <c r="E40" s="8">
        <v>1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1137</v>
      </c>
      <c r="C41" s="7" t="s">
        <v>217</v>
      </c>
      <c r="D41" s="7" t="s">
        <v>218</v>
      </c>
      <c r="E41" s="7">
        <v>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459</v>
      </c>
      <c r="C42" s="8" t="s">
        <v>31</v>
      </c>
      <c r="D42" s="8" t="s">
        <v>32</v>
      </c>
      <c r="E42" s="8">
        <v>4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788</v>
      </c>
      <c r="C43" s="7" t="s">
        <v>31</v>
      </c>
      <c r="D43" s="7" t="s">
        <v>32</v>
      </c>
      <c r="E43" s="7">
        <v>16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184</v>
      </c>
      <c r="C44" s="8" t="s">
        <v>31</v>
      </c>
      <c r="D44" s="8" t="s">
        <v>32</v>
      </c>
      <c r="E44" s="8">
        <v>8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201</v>
      </c>
      <c r="C45" s="7" t="s">
        <v>31</v>
      </c>
      <c r="D45" s="7" t="s">
        <v>32</v>
      </c>
      <c r="E45" s="7">
        <v>3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539</v>
      </c>
      <c r="C46" s="8" t="s">
        <v>328</v>
      </c>
      <c r="D46" s="8" t="s">
        <v>456</v>
      </c>
      <c r="E46" s="8">
        <v>1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487</v>
      </c>
      <c r="C47" s="7" t="s">
        <v>328</v>
      </c>
      <c r="D47" s="7" t="s">
        <v>456</v>
      </c>
      <c r="E47" s="7">
        <v>1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1133</v>
      </c>
      <c r="C48" s="8" t="s">
        <v>290</v>
      </c>
      <c r="D48" s="8" t="s">
        <v>291</v>
      </c>
      <c r="E48" s="8">
        <v>1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1085</v>
      </c>
      <c r="C49" s="7" t="s">
        <v>290</v>
      </c>
      <c r="D49" s="7" t="s">
        <v>291</v>
      </c>
      <c r="E49" s="7">
        <v>1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453</v>
      </c>
      <c r="C50" s="8" t="s">
        <v>31</v>
      </c>
      <c r="D50" s="8" t="s">
        <v>32</v>
      </c>
      <c r="E50" s="8">
        <v>8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382</v>
      </c>
      <c r="C51" s="7" t="s">
        <v>31</v>
      </c>
      <c r="D51" s="7" t="s">
        <v>32</v>
      </c>
      <c r="E51" s="7">
        <v>24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29</v>
      </c>
      <c r="C52" s="8" t="s">
        <v>31</v>
      </c>
      <c r="D52" s="8" t="s">
        <v>32</v>
      </c>
      <c r="E52" s="8">
        <v>2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164</v>
      </c>
      <c r="C53" s="7" t="s">
        <v>31</v>
      </c>
      <c r="D53" s="7" t="s">
        <v>32</v>
      </c>
      <c r="E53" s="7">
        <v>16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157</v>
      </c>
      <c r="C54" s="8" t="s">
        <v>31</v>
      </c>
      <c r="D54" s="8" t="s">
        <v>32</v>
      </c>
      <c r="E54" s="8">
        <v>4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1132</v>
      </c>
      <c r="C55" s="7" t="s">
        <v>328</v>
      </c>
      <c r="D55" s="7" t="s">
        <v>329</v>
      </c>
      <c r="E55" s="7">
        <v>1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1131</v>
      </c>
      <c r="C56" s="8" t="s">
        <v>21</v>
      </c>
      <c r="D56" s="8" t="s">
        <v>23</v>
      </c>
      <c r="E56" s="8">
        <v>2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721</v>
      </c>
      <c r="C57" s="7" t="s">
        <v>21</v>
      </c>
      <c r="D57" s="7" t="s">
        <v>23</v>
      </c>
      <c r="E57" s="7">
        <v>2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1130</v>
      </c>
      <c r="C58" s="8" t="s">
        <v>21</v>
      </c>
      <c r="D58" s="8" t="s">
        <v>23</v>
      </c>
      <c r="E58" s="8">
        <v>4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95</v>
      </c>
      <c r="C59" s="7" t="s">
        <v>21</v>
      </c>
      <c r="D59" s="7" t="s">
        <v>23</v>
      </c>
      <c r="E59" s="7">
        <v>2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8">
        <v>56</v>
      </c>
      <c r="B60" s="8" t="s">
        <v>717</v>
      </c>
      <c r="C60" s="8" t="s">
        <v>21</v>
      </c>
      <c r="D60" s="8" t="s">
        <v>23</v>
      </c>
      <c r="E60" s="8">
        <v>2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7">
        <v>57</v>
      </c>
      <c r="B61" s="7" t="s">
        <v>443</v>
      </c>
      <c r="C61" s="7" t="s">
        <v>21</v>
      </c>
      <c r="D61" s="7" t="s">
        <v>23</v>
      </c>
      <c r="E61" s="7">
        <v>2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8">
        <v>58</v>
      </c>
      <c r="B62" s="8" t="s">
        <v>80</v>
      </c>
      <c r="C62" s="8" t="s">
        <v>21</v>
      </c>
      <c r="D62" s="8" t="s">
        <v>23</v>
      </c>
      <c r="E62" s="8">
        <v>8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7">
        <v>59</v>
      </c>
      <c r="B63" s="7" t="s">
        <v>777</v>
      </c>
      <c r="C63" s="7" t="s">
        <v>21</v>
      </c>
      <c r="D63" s="7" t="s">
        <v>23</v>
      </c>
      <c r="E63" s="7">
        <v>8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8">
        <v>60</v>
      </c>
      <c r="B64" s="8" t="s">
        <v>501</v>
      </c>
      <c r="C64" s="8" t="s">
        <v>21</v>
      </c>
      <c r="D64" s="8" t="s">
        <v>23</v>
      </c>
      <c r="E64" s="8">
        <v>4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7">
        <v>61</v>
      </c>
      <c r="B65" s="7" t="s">
        <v>46</v>
      </c>
      <c r="C65" s="7" t="s">
        <v>21</v>
      </c>
      <c r="D65" s="7" t="s">
        <v>23</v>
      </c>
      <c r="E65" s="7">
        <v>4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8">
        <v>62</v>
      </c>
      <c r="B66" s="8" t="s">
        <v>490</v>
      </c>
      <c r="C66" s="8" t="s">
        <v>21</v>
      </c>
      <c r="D66" s="8" t="s">
        <v>23</v>
      </c>
      <c r="E66" s="8">
        <v>1</v>
      </c>
      <c r="F66" s="8" t="str">
        <f t="array" ref="F66">IFERROR(_xlfn.XLOOKUP(B66,#REF!,#REF!,""),"")</f>
        <v/>
      </c>
      <c r="G66" s="8" t="str">
        <f t="array" ref="G66">IFERROR(_xlfn.XLOOKUP(B66,#REF!,#REF!,""),"")</f>
        <v/>
      </c>
      <c r="H66" s="8" t="str">
        <f t="array" ref="H66">IFERROR(_xlfn.XLOOKUP(B66,#REF!,#REF!,""),"")</f>
        <v/>
      </c>
      <c r="I66" s="3"/>
      <c r="J66" s="3"/>
    </row>
    <row r="67" spans="1:10" ht="15.75" customHeight="1" x14ac:dyDescent="0.3">
      <c r="A67" s="7">
        <v>63</v>
      </c>
      <c r="B67" s="7" t="s">
        <v>1059</v>
      </c>
      <c r="C67" s="7" t="s">
        <v>21</v>
      </c>
      <c r="D67" s="7" t="s">
        <v>23</v>
      </c>
      <c r="E67" s="7">
        <v>2</v>
      </c>
      <c r="F67" s="7" t="str">
        <f t="array" ref="F67">IFERROR(_xlfn.XLOOKUP(B67,#REF!,#REF!,""),"")</f>
        <v/>
      </c>
      <c r="G67" s="7" t="str">
        <f t="array" ref="G67">IFERROR(_xlfn.XLOOKUP(B67,#REF!,#REF!,""),"")</f>
        <v/>
      </c>
      <c r="H67" s="7" t="str">
        <f t="array" ref="H67">IFERROR(_xlfn.XLOOKUP(B67,#REF!,#REF!,""),"")</f>
        <v/>
      </c>
      <c r="I67" s="3"/>
      <c r="J67" s="3"/>
    </row>
    <row r="68" spans="1:10" ht="15.75" customHeight="1" x14ac:dyDescent="0.3">
      <c r="A68" s="8">
        <v>64</v>
      </c>
      <c r="B68" s="8" t="s">
        <v>1115</v>
      </c>
      <c r="C68" s="8" t="s">
        <v>17</v>
      </c>
      <c r="D68" s="8" t="s">
        <v>18</v>
      </c>
      <c r="E68" s="8">
        <v>3</v>
      </c>
      <c r="F68" s="8" t="str">
        <f t="array" ref="F68">IFERROR(_xlfn.XLOOKUP(B68,#REF!,#REF!,""),"")</f>
        <v/>
      </c>
      <c r="G68" s="8" t="str">
        <f t="array" ref="G68">IFERROR(_xlfn.XLOOKUP(B68,#REF!,#REF!,""),"")</f>
        <v/>
      </c>
      <c r="H68" s="8" t="str">
        <f t="array" ref="H68">IFERROR(_xlfn.XLOOKUP(B68,#REF!,#REF!,""),"")</f>
        <v/>
      </c>
      <c r="I68" s="3"/>
      <c r="J68" s="3"/>
    </row>
    <row r="69" spans="1:10" ht="15.75" customHeight="1" x14ac:dyDescent="0.3">
      <c r="A69" s="7">
        <v>65</v>
      </c>
      <c r="B69" s="7" t="s">
        <v>435</v>
      </c>
      <c r="C69" s="7" t="s">
        <v>17</v>
      </c>
      <c r="D69" s="7" t="s">
        <v>18</v>
      </c>
      <c r="E69" s="7">
        <v>2</v>
      </c>
      <c r="F69" s="7" t="str">
        <f t="array" ref="F69">IFERROR(_xlfn.XLOOKUP(B69,#REF!,#REF!,""),"")</f>
        <v/>
      </c>
      <c r="G69" s="7" t="str">
        <f t="array" ref="G69">IFERROR(_xlfn.XLOOKUP(B69,#REF!,#REF!,""),"")</f>
        <v/>
      </c>
      <c r="H69" s="7" t="str">
        <f t="array" ref="H69">IFERROR(_xlfn.XLOOKUP(B69,#REF!,#REF!,""),"")</f>
        <v/>
      </c>
      <c r="I69" s="3"/>
      <c r="J69" s="3"/>
    </row>
    <row r="70" spans="1:10" ht="15.75" customHeight="1" x14ac:dyDescent="0.3"/>
    <row r="71" spans="1:10" ht="15.75" customHeight="1" x14ac:dyDescent="0.3"/>
    <row r="72" spans="1:10" ht="15.75" customHeight="1" x14ac:dyDescent="0.3"/>
    <row r="73" spans="1:10" ht="15.75" customHeight="1" x14ac:dyDescent="0.3"/>
    <row r="74" spans="1:10" ht="15.75" customHeight="1" x14ac:dyDescent="0.3"/>
    <row r="75" spans="1:10" ht="15.75" customHeight="1" x14ac:dyDescent="0.3"/>
    <row r="76" spans="1:10" ht="15.75" customHeight="1" x14ac:dyDescent="0.3"/>
    <row r="77" spans="1:10" ht="15.75" customHeight="1" x14ac:dyDescent="0.3"/>
    <row r="78" spans="1:10" ht="15.75" customHeight="1" x14ac:dyDescent="0.3"/>
    <row r="79" spans="1:10" ht="15.75" customHeight="1" x14ac:dyDescent="0.3"/>
    <row r="80" spans="1:1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9" xr:uid="{00000000-0009-0000-0000-000035000000}">
    <sortState xmlns:xlrd2="http://schemas.microsoft.com/office/spreadsheetml/2017/richdata2" ref="A5:H69">
      <sortCondition ref="A4:A69"/>
    </sortState>
  </autoFilter>
  <mergeCells count="2">
    <mergeCell ref="A1:H1"/>
    <mergeCell ref="A2:H2"/>
  </mergeCells>
  <conditionalFormatting sqref="G5:G69">
    <cfRule type="expression" dxfId="56" priority="1">
      <formula>G5="OUT OF STOCK"</formula>
    </cfRule>
    <cfRule type="expression" dxfId="55" priority="2">
      <formula>G5="REORDER"</formula>
    </cfRule>
    <cfRule type="expression" dxfId="5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10" sqref="D10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9.4" customHeight="1" x14ac:dyDescent="0.3">
      <c r="A1" s="24" t="s">
        <v>207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208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1136</v>
      </c>
      <c r="C5" s="7" t="s">
        <v>303</v>
      </c>
      <c r="D5" s="7" t="s">
        <v>304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1135</v>
      </c>
      <c r="C6" s="8" t="s">
        <v>303</v>
      </c>
      <c r="D6" s="8" t="s">
        <v>304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1134</v>
      </c>
      <c r="C7" s="7" t="s">
        <v>303</v>
      </c>
      <c r="D7" s="7" t="s">
        <v>304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7" xr:uid="{00000000-0009-0000-0000-000036000000}">
    <sortState xmlns:xlrd2="http://schemas.microsoft.com/office/spreadsheetml/2017/richdata2" ref="A5:H7">
      <sortCondition ref="A4:A7"/>
    </sortState>
  </autoFilter>
  <mergeCells count="2">
    <mergeCell ref="A1:H1"/>
    <mergeCell ref="A2:H2"/>
  </mergeCells>
  <conditionalFormatting sqref="G5:G7">
    <cfRule type="expression" dxfId="53" priority="1">
      <formula>G5="OUT OF STOCK"</formula>
    </cfRule>
    <cfRule type="expression" dxfId="52" priority="2">
      <formula>G5="REORDER"</formula>
    </cfRule>
    <cfRule type="expression" dxfId="5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6" sqref="E6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" customHeight="1" x14ac:dyDescent="0.3">
      <c r="A1" s="24" t="s">
        <v>211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213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1157</v>
      </c>
      <c r="C5" s="8" t="s">
        <v>917</v>
      </c>
      <c r="D5" s="8" t="s">
        <v>918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1159</v>
      </c>
      <c r="C6" s="7" t="s">
        <v>917</v>
      </c>
      <c r="D6" s="7" t="s">
        <v>918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788</v>
      </c>
      <c r="C7" s="8" t="s">
        <v>31</v>
      </c>
      <c r="D7" s="8" t="s">
        <v>32</v>
      </c>
      <c r="E7" s="8">
        <v>2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184</v>
      </c>
      <c r="C8" s="7" t="s">
        <v>31</v>
      </c>
      <c r="D8" s="7" t="s">
        <v>32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382</v>
      </c>
      <c r="C9" s="8" t="s">
        <v>31</v>
      </c>
      <c r="D9" s="8" t="s">
        <v>32</v>
      </c>
      <c r="E9" s="8">
        <v>2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29</v>
      </c>
      <c r="C10" s="7" t="s">
        <v>31</v>
      </c>
      <c r="D10" s="7" t="s">
        <v>32</v>
      </c>
      <c r="E10" s="7">
        <v>2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80</v>
      </c>
      <c r="C11" s="8" t="s">
        <v>21</v>
      </c>
      <c r="D11" s="8" t="s">
        <v>23</v>
      </c>
      <c r="E11" s="8">
        <v>2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1152</v>
      </c>
      <c r="C12" s="7" t="s">
        <v>21</v>
      </c>
      <c r="D12" s="7" t="s">
        <v>23</v>
      </c>
      <c r="E12" s="7">
        <v>2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2" xr:uid="{00000000-0009-0000-0000-000037000000}">
    <sortState xmlns:xlrd2="http://schemas.microsoft.com/office/spreadsheetml/2017/richdata2" ref="A5:H12">
      <sortCondition ref="A4:A12"/>
    </sortState>
  </autoFilter>
  <mergeCells count="2">
    <mergeCell ref="A1:H1"/>
    <mergeCell ref="A2:H2"/>
  </mergeCells>
  <conditionalFormatting sqref="G5:G12">
    <cfRule type="expression" dxfId="50" priority="1">
      <formula>G5="OUT OF STOCK"</formula>
    </cfRule>
    <cfRule type="expression" dxfId="49" priority="2">
      <formula>G5="REORDER"</formula>
    </cfRule>
    <cfRule type="expression" dxfId="48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9" sqref="D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6.65" customHeight="1" x14ac:dyDescent="0.3">
      <c r="A1" s="24" t="s">
        <v>216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219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36</v>
      </c>
      <c r="C5" s="8" t="s">
        <v>37</v>
      </c>
      <c r="D5" s="8" t="s">
        <v>38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184</v>
      </c>
      <c r="C6" s="7" t="s">
        <v>31</v>
      </c>
      <c r="D6" s="7" t="s">
        <v>32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29</v>
      </c>
      <c r="C7" s="8" t="s">
        <v>31</v>
      </c>
      <c r="D7" s="8" t="s">
        <v>32</v>
      </c>
      <c r="E7" s="8">
        <v>2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301</v>
      </c>
      <c r="C8" s="7" t="s">
        <v>21</v>
      </c>
      <c r="D8" s="7" t="s">
        <v>23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8" xr:uid="{00000000-0009-0000-0000-000038000000}">
    <sortState xmlns:xlrd2="http://schemas.microsoft.com/office/spreadsheetml/2017/richdata2" ref="A5:H8">
      <sortCondition ref="A4:A8"/>
    </sortState>
  </autoFilter>
  <mergeCells count="2">
    <mergeCell ref="A1:H1"/>
    <mergeCell ref="A2:H2"/>
  </mergeCells>
  <conditionalFormatting sqref="G5:G8">
    <cfRule type="expression" dxfId="47" priority="1">
      <formula>G5="OUT OF STOCK"</formula>
    </cfRule>
    <cfRule type="expression" dxfId="46" priority="2">
      <formula>G5="REORDER"</formula>
    </cfRule>
    <cfRule type="expression" dxfId="45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D9" sqref="D9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" customHeight="1" x14ac:dyDescent="0.3">
      <c r="A1" s="24" t="s">
        <v>220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221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209</v>
      </c>
      <c r="C5" s="8" t="s">
        <v>212</v>
      </c>
      <c r="D5" s="8" t="s">
        <v>214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391</v>
      </c>
      <c r="C6" s="7" t="s">
        <v>272</v>
      </c>
      <c r="D6" s="7" t="s">
        <v>273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394</v>
      </c>
      <c r="C7" s="8" t="s">
        <v>81</v>
      </c>
      <c r="D7" s="8" t="s">
        <v>82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401</v>
      </c>
      <c r="C8" s="7" t="s">
        <v>399</v>
      </c>
      <c r="D8" s="7" t="s">
        <v>400</v>
      </c>
      <c r="E8" s="7">
        <v>4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543</v>
      </c>
      <c r="C9" s="8" t="s">
        <v>544</v>
      </c>
      <c r="D9" s="8" t="s">
        <v>400</v>
      </c>
      <c r="E9" s="8">
        <v>2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639</v>
      </c>
      <c r="C10" s="7" t="s">
        <v>138</v>
      </c>
      <c r="D10" s="7" t="s">
        <v>139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641</v>
      </c>
      <c r="C11" s="8" t="s">
        <v>297</v>
      </c>
      <c r="D11" s="8" t="s">
        <v>82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642</v>
      </c>
      <c r="C12" s="7" t="s">
        <v>81</v>
      </c>
      <c r="D12" s="7" t="s">
        <v>82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928</v>
      </c>
      <c r="C13" s="8" t="s">
        <v>81</v>
      </c>
      <c r="D13" s="8" t="s">
        <v>82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1170</v>
      </c>
      <c r="C14" s="7" t="s">
        <v>971</v>
      </c>
      <c r="D14" s="7" t="s">
        <v>972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1171</v>
      </c>
      <c r="C15" s="8" t="s">
        <v>971</v>
      </c>
      <c r="D15" s="8" t="s">
        <v>972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1173</v>
      </c>
      <c r="C16" s="7" t="s">
        <v>349</v>
      </c>
      <c r="D16" s="7" t="s">
        <v>350</v>
      </c>
      <c r="E16" s="7">
        <v>2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906</v>
      </c>
      <c r="C17" s="8" t="s">
        <v>907</v>
      </c>
      <c r="D17" s="8" t="s">
        <v>908</v>
      </c>
      <c r="E17" s="8">
        <v>2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274</v>
      </c>
      <c r="C18" s="7" t="s">
        <v>275</v>
      </c>
      <c r="D18" s="7" t="s">
        <v>276</v>
      </c>
      <c r="E18" s="7">
        <v>4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1190</v>
      </c>
      <c r="C19" s="8" t="s">
        <v>519</v>
      </c>
      <c r="D19" s="8" t="s">
        <v>520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548</v>
      </c>
      <c r="C20" s="7" t="s">
        <v>43</v>
      </c>
      <c r="D20" s="7" t="s">
        <v>44</v>
      </c>
      <c r="E20" s="7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234</v>
      </c>
      <c r="C21" s="8" t="s">
        <v>43</v>
      </c>
      <c r="D21" s="8" t="s">
        <v>44</v>
      </c>
      <c r="E21" s="8">
        <v>4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190</v>
      </c>
      <c r="C22" s="7" t="s">
        <v>43</v>
      </c>
      <c r="D22" s="7" t="s">
        <v>44</v>
      </c>
      <c r="E22" s="7">
        <v>2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1187</v>
      </c>
      <c r="C23" s="8" t="s">
        <v>1140</v>
      </c>
      <c r="D23" s="8" t="s">
        <v>92</v>
      </c>
      <c r="E23" s="8">
        <v>4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541</v>
      </c>
      <c r="C24" s="7" t="s">
        <v>542</v>
      </c>
      <c r="D24" s="7" t="s">
        <v>523</v>
      </c>
      <c r="E24" s="7">
        <v>4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964</v>
      </c>
      <c r="C25" s="8" t="s">
        <v>217</v>
      </c>
      <c r="D25" s="8" t="s">
        <v>218</v>
      </c>
      <c r="E25" s="8">
        <v>2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459</v>
      </c>
      <c r="C26" s="7" t="s">
        <v>31</v>
      </c>
      <c r="D26" s="7" t="s">
        <v>32</v>
      </c>
      <c r="E26" s="7">
        <v>1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184</v>
      </c>
      <c r="C27" s="8" t="s">
        <v>31</v>
      </c>
      <c r="D27" s="8" t="s">
        <v>32</v>
      </c>
      <c r="E27" s="8">
        <v>20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201</v>
      </c>
      <c r="C28" s="7" t="s">
        <v>31</v>
      </c>
      <c r="D28" s="7" t="s">
        <v>32</v>
      </c>
      <c r="E28" s="7">
        <v>6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1186</v>
      </c>
      <c r="C29" s="8" t="s">
        <v>710</v>
      </c>
      <c r="D29" s="8" t="s">
        <v>711</v>
      </c>
      <c r="E29" s="8">
        <v>2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194</v>
      </c>
      <c r="C30" s="7" t="s">
        <v>31</v>
      </c>
      <c r="D30" s="7" t="s">
        <v>32</v>
      </c>
      <c r="E30" s="7">
        <v>1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180</v>
      </c>
      <c r="C31" s="8" t="s">
        <v>31</v>
      </c>
      <c r="D31" s="8" t="s">
        <v>32</v>
      </c>
      <c r="E31" s="8">
        <v>2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29</v>
      </c>
      <c r="C32" s="7" t="s">
        <v>31</v>
      </c>
      <c r="D32" s="7" t="s">
        <v>32</v>
      </c>
      <c r="E32" s="7">
        <v>4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164</v>
      </c>
      <c r="C33" s="8" t="s">
        <v>31</v>
      </c>
      <c r="D33" s="8" t="s">
        <v>32</v>
      </c>
      <c r="E33" s="8">
        <v>20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734</v>
      </c>
      <c r="C34" s="7" t="s">
        <v>31</v>
      </c>
      <c r="D34" s="7" t="s">
        <v>32</v>
      </c>
      <c r="E34" s="7">
        <v>12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554</v>
      </c>
      <c r="C35" s="8" t="s">
        <v>555</v>
      </c>
      <c r="D35" s="8" t="s">
        <v>556</v>
      </c>
      <c r="E35" s="8">
        <v>1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1183</v>
      </c>
      <c r="C36" s="7" t="s">
        <v>328</v>
      </c>
      <c r="D36" s="7" t="s">
        <v>329</v>
      </c>
      <c r="E36" s="7">
        <v>1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1076</v>
      </c>
      <c r="C37" s="8" t="s">
        <v>328</v>
      </c>
      <c r="D37" s="8" t="s">
        <v>329</v>
      </c>
      <c r="E37" s="8">
        <v>2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963</v>
      </c>
      <c r="C38" s="7" t="s">
        <v>31</v>
      </c>
      <c r="D38" s="7" t="s">
        <v>32</v>
      </c>
      <c r="E38" s="7">
        <v>2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>
      <c r="A39" s="8">
        <v>35</v>
      </c>
      <c r="B39" s="8" t="s">
        <v>1180</v>
      </c>
      <c r="C39" s="8" t="s">
        <v>448</v>
      </c>
      <c r="D39" s="8" t="s">
        <v>139</v>
      </c>
      <c r="E39" s="8">
        <v>2</v>
      </c>
      <c r="F39" s="8" t="str">
        <f t="array" ref="F39">IFERROR(_xlfn.XLOOKUP(B39,#REF!,#REF!,""),"")</f>
        <v/>
      </c>
      <c r="G39" s="8" t="str">
        <f t="array" ref="G39">IFERROR(_xlfn.XLOOKUP(B39,#REF!,#REF!,""),"")</f>
        <v/>
      </c>
      <c r="H39" s="8" t="str">
        <f t="array" ref="H39">IFERROR(_xlfn.XLOOKUP(B39,#REF!,#REF!,""),"")</f>
        <v/>
      </c>
      <c r="I39" s="3"/>
      <c r="J39" s="3"/>
    </row>
    <row r="40" spans="1:10" ht="15.75" customHeight="1" x14ac:dyDescent="0.3">
      <c r="A40" s="7">
        <v>36</v>
      </c>
      <c r="B40" s="7" t="s">
        <v>815</v>
      </c>
      <c r="C40" s="7" t="s">
        <v>21</v>
      </c>
      <c r="D40" s="7" t="s">
        <v>23</v>
      </c>
      <c r="E40" s="7">
        <v>1</v>
      </c>
      <c r="F40" s="7" t="str">
        <f t="array" ref="F40">IFERROR(_xlfn.XLOOKUP(B40,#REF!,#REF!,""),"")</f>
        <v/>
      </c>
      <c r="G40" s="7" t="str">
        <f t="array" ref="G40">IFERROR(_xlfn.XLOOKUP(B40,#REF!,#REF!,""),"")</f>
        <v/>
      </c>
      <c r="H40" s="7" t="str">
        <f t="array" ref="H40">IFERROR(_xlfn.XLOOKUP(B40,#REF!,#REF!,""),"")</f>
        <v/>
      </c>
      <c r="I40" s="3"/>
      <c r="J40" s="3"/>
    </row>
    <row r="41" spans="1:10" ht="15.75" customHeight="1" x14ac:dyDescent="0.3">
      <c r="A41" s="8">
        <v>37</v>
      </c>
      <c r="B41" s="8" t="s">
        <v>1176</v>
      </c>
      <c r="C41" s="8" t="s">
        <v>21</v>
      </c>
      <c r="D41" s="8" t="s">
        <v>23</v>
      </c>
      <c r="E41" s="8">
        <v>1</v>
      </c>
      <c r="F41" s="8" t="str">
        <f t="array" ref="F41">IFERROR(_xlfn.XLOOKUP(B41,#REF!,#REF!,""),"")</f>
        <v/>
      </c>
      <c r="G41" s="8" t="str">
        <f t="array" ref="G41">IFERROR(_xlfn.XLOOKUP(B41,#REF!,#REF!,""),"")</f>
        <v/>
      </c>
      <c r="H41" s="8" t="str">
        <f t="array" ref="H41">IFERROR(_xlfn.XLOOKUP(B41,#REF!,#REF!,""),"")</f>
        <v/>
      </c>
      <c r="I41" s="3"/>
      <c r="J41" s="3"/>
    </row>
    <row r="42" spans="1:10" ht="15.75" customHeight="1" x14ac:dyDescent="0.3">
      <c r="A42" s="7">
        <v>38</v>
      </c>
      <c r="B42" s="7" t="s">
        <v>68</v>
      </c>
      <c r="C42" s="7" t="s">
        <v>21</v>
      </c>
      <c r="D42" s="7" t="s">
        <v>23</v>
      </c>
      <c r="E42" s="7">
        <v>2</v>
      </c>
      <c r="F42" s="7" t="str">
        <f t="array" ref="F42">IFERROR(_xlfn.XLOOKUP(B42,#REF!,#REF!,""),"")</f>
        <v/>
      </c>
      <c r="G42" s="7" t="str">
        <f t="array" ref="G42">IFERROR(_xlfn.XLOOKUP(B42,#REF!,#REF!,""),"")</f>
        <v/>
      </c>
      <c r="H42" s="7" t="str">
        <f t="array" ref="H42">IFERROR(_xlfn.XLOOKUP(B42,#REF!,#REF!,""),"")</f>
        <v/>
      </c>
      <c r="I42" s="3"/>
      <c r="J42" s="3"/>
    </row>
    <row r="43" spans="1:10" ht="15.75" customHeight="1" x14ac:dyDescent="0.3">
      <c r="A43" s="8">
        <v>39</v>
      </c>
      <c r="B43" s="8" t="s">
        <v>812</v>
      </c>
      <c r="C43" s="8" t="s">
        <v>21</v>
      </c>
      <c r="D43" s="8" t="s">
        <v>23</v>
      </c>
      <c r="E43" s="8">
        <v>8</v>
      </c>
      <c r="F43" s="8" t="str">
        <f t="array" ref="F43">IFERROR(_xlfn.XLOOKUP(B43,#REF!,#REF!,""),"")</f>
        <v/>
      </c>
      <c r="G43" s="8" t="str">
        <f t="array" ref="G43">IFERROR(_xlfn.XLOOKUP(B43,#REF!,#REF!,""),"")</f>
        <v/>
      </c>
      <c r="H43" s="8" t="str">
        <f t="array" ref="H43">IFERROR(_xlfn.XLOOKUP(B43,#REF!,#REF!,""),"")</f>
        <v/>
      </c>
      <c r="I43" s="3"/>
      <c r="J43" s="3"/>
    </row>
    <row r="44" spans="1:10" ht="15.75" customHeight="1" x14ac:dyDescent="0.3">
      <c r="A44" s="7">
        <v>40</v>
      </c>
      <c r="B44" s="7" t="s">
        <v>61</v>
      </c>
      <c r="C44" s="7" t="s">
        <v>21</v>
      </c>
      <c r="D44" s="7" t="s">
        <v>23</v>
      </c>
      <c r="E44" s="7">
        <v>8</v>
      </c>
      <c r="F44" s="7" t="str">
        <f t="array" ref="F44">IFERROR(_xlfn.XLOOKUP(B44,#REF!,#REF!,""),"")</f>
        <v/>
      </c>
      <c r="G44" s="7" t="str">
        <f t="array" ref="G44">IFERROR(_xlfn.XLOOKUP(B44,#REF!,#REF!,""),"")</f>
        <v/>
      </c>
      <c r="H44" s="7" t="str">
        <f t="array" ref="H44">IFERROR(_xlfn.XLOOKUP(B44,#REF!,#REF!,""),"")</f>
        <v/>
      </c>
      <c r="I44" s="3"/>
      <c r="J44" s="3"/>
    </row>
    <row r="45" spans="1:10" ht="15.75" customHeight="1" x14ac:dyDescent="0.3">
      <c r="A45" s="8">
        <v>41</v>
      </c>
      <c r="B45" s="8" t="s">
        <v>1172</v>
      </c>
      <c r="C45" s="8" t="s">
        <v>21</v>
      </c>
      <c r="D45" s="8" t="s">
        <v>23</v>
      </c>
      <c r="E45" s="8">
        <v>2</v>
      </c>
      <c r="F45" s="8" t="str">
        <f t="array" ref="F45">IFERROR(_xlfn.XLOOKUP(B45,#REF!,#REF!,""),"")</f>
        <v/>
      </c>
      <c r="G45" s="8" t="str">
        <f t="array" ref="G45">IFERROR(_xlfn.XLOOKUP(B45,#REF!,#REF!,""),"")</f>
        <v/>
      </c>
      <c r="H45" s="8" t="str">
        <f t="array" ref="H45">IFERROR(_xlfn.XLOOKUP(B45,#REF!,#REF!,""),"")</f>
        <v/>
      </c>
      <c r="I45" s="3"/>
      <c r="J45" s="3"/>
    </row>
    <row r="46" spans="1:10" ht="15.75" customHeight="1" x14ac:dyDescent="0.3">
      <c r="A46" s="7">
        <v>42</v>
      </c>
      <c r="B46" s="7" t="s">
        <v>40</v>
      </c>
      <c r="C46" s="7" t="s">
        <v>21</v>
      </c>
      <c r="D46" s="7" t="s">
        <v>23</v>
      </c>
      <c r="E46" s="7">
        <v>6</v>
      </c>
      <c r="F46" s="7" t="str">
        <f t="array" ref="F46">IFERROR(_xlfn.XLOOKUP(B46,#REF!,#REF!,""),"")</f>
        <v/>
      </c>
      <c r="G46" s="7" t="str">
        <f t="array" ref="G46">IFERROR(_xlfn.XLOOKUP(B46,#REF!,#REF!,""),"")</f>
        <v/>
      </c>
      <c r="H46" s="7" t="str">
        <f t="array" ref="H46">IFERROR(_xlfn.XLOOKUP(B46,#REF!,#REF!,""),"")</f>
        <v/>
      </c>
      <c r="I46" s="3"/>
      <c r="J46" s="3"/>
    </row>
    <row r="47" spans="1:10" ht="15.75" customHeight="1" x14ac:dyDescent="0.3">
      <c r="A47" s="8">
        <v>43</v>
      </c>
      <c r="B47" s="8" t="s">
        <v>992</v>
      </c>
      <c r="C47" s="8" t="s">
        <v>17</v>
      </c>
      <c r="D47" s="8" t="s">
        <v>18</v>
      </c>
      <c r="E47" s="8">
        <v>6</v>
      </c>
      <c r="F47" s="8" t="str">
        <f t="array" ref="F47">IFERROR(_xlfn.XLOOKUP(B47,#REF!,#REF!,""),"")</f>
        <v/>
      </c>
      <c r="G47" s="8" t="str">
        <f t="array" ref="G47">IFERROR(_xlfn.XLOOKUP(B47,#REF!,#REF!,""),"")</f>
        <v/>
      </c>
      <c r="H47" s="8" t="str">
        <f t="array" ref="H47">IFERROR(_xlfn.XLOOKUP(B47,#REF!,#REF!,""),"")</f>
        <v/>
      </c>
      <c r="I47" s="3"/>
      <c r="J47" s="3"/>
    </row>
    <row r="48" spans="1:10" ht="15.75" customHeight="1" x14ac:dyDescent="0.3">
      <c r="A48" s="7">
        <v>44</v>
      </c>
      <c r="B48" s="7" t="s">
        <v>1169</v>
      </c>
      <c r="C48" s="7" t="s">
        <v>17</v>
      </c>
      <c r="D48" s="7" t="s">
        <v>18</v>
      </c>
      <c r="E48" s="7">
        <v>2</v>
      </c>
      <c r="F48" s="7" t="str">
        <f t="array" ref="F48">IFERROR(_xlfn.XLOOKUP(B48,#REF!,#REF!,""),"")</f>
        <v/>
      </c>
      <c r="G48" s="7" t="str">
        <f t="array" ref="G48">IFERROR(_xlfn.XLOOKUP(B48,#REF!,#REF!,""),"")</f>
        <v/>
      </c>
      <c r="H48" s="7" t="str">
        <f t="array" ref="H48">IFERROR(_xlfn.XLOOKUP(B48,#REF!,#REF!,""),"")</f>
        <v/>
      </c>
      <c r="I48" s="3"/>
      <c r="J48" s="3"/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8" xr:uid="{00000000-0009-0000-0000-000039000000}">
    <sortState xmlns:xlrd2="http://schemas.microsoft.com/office/spreadsheetml/2017/richdata2" ref="A5:H48">
      <sortCondition ref="A4:A48"/>
    </sortState>
  </autoFilter>
  <mergeCells count="2">
    <mergeCell ref="A1:H1"/>
    <mergeCell ref="A2:H2"/>
  </mergeCells>
  <conditionalFormatting sqref="G5:G48">
    <cfRule type="expression" dxfId="44" priority="1">
      <formula>G5="OUT OF STOCK"</formula>
    </cfRule>
    <cfRule type="expression" dxfId="43" priority="2">
      <formula>G5="REORDER"</formula>
    </cfRule>
    <cfRule type="expression" dxfId="4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E11" sqref="E11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25" customHeight="1" x14ac:dyDescent="0.3">
      <c r="A1" s="24" t="s">
        <v>222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224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223</v>
      </c>
      <c r="C5" s="7" t="s">
        <v>225</v>
      </c>
      <c r="D5" s="7" t="s">
        <v>226</v>
      </c>
      <c r="E5" s="7">
        <v>2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233</v>
      </c>
      <c r="C6" s="8" t="s">
        <v>21</v>
      </c>
      <c r="D6" s="8" t="s">
        <v>23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242</v>
      </c>
      <c r="C7" s="7" t="s">
        <v>17</v>
      </c>
      <c r="D7" s="7" t="s">
        <v>18</v>
      </c>
      <c r="E7" s="7">
        <v>4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249</v>
      </c>
      <c r="C8" s="8" t="s">
        <v>17</v>
      </c>
      <c r="D8" s="8" t="s">
        <v>18</v>
      </c>
      <c r="E8" s="8">
        <v>4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421</v>
      </c>
      <c r="C9" s="7" t="s">
        <v>153</v>
      </c>
      <c r="D9" s="7" t="s">
        <v>154</v>
      </c>
      <c r="E9" s="7">
        <v>3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646</v>
      </c>
      <c r="C10" s="8" t="s">
        <v>647</v>
      </c>
      <c r="D10" s="8" t="s">
        <v>648</v>
      </c>
      <c r="E10" s="8">
        <v>2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650</v>
      </c>
      <c r="C11" s="7" t="s">
        <v>647</v>
      </c>
      <c r="D11" s="7" t="s">
        <v>648</v>
      </c>
      <c r="E11" s="7">
        <v>2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651</v>
      </c>
      <c r="C12" s="8" t="s">
        <v>81</v>
      </c>
      <c r="D12" s="8" t="s">
        <v>82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652</v>
      </c>
      <c r="C13" s="7" t="s">
        <v>297</v>
      </c>
      <c r="D13" s="7" t="s">
        <v>82</v>
      </c>
      <c r="E13" s="7">
        <v>1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653</v>
      </c>
      <c r="C14" s="8" t="s">
        <v>212</v>
      </c>
      <c r="D14" s="8" t="s">
        <v>214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654</v>
      </c>
      <c r="C15" s="7" t="s">
        <v>655</v>
      </c>
      <c r="D15" s="7" t="s">
        <v>656</v>
      </c>
      <c r="E15" s="7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657</v>
      </c>
      <c r="C16" s="8" t="s">
        <v>530</v>
      </c>
      <c r="D16" s="8" t="s">
        <v>531</v>
      </c>
      <c r="E16" s="8">
        <v>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658</v>
      </c>
      <c r="C17" s="7" t="s">
        <v>138</v>
      </c>
      <c r="D17" s="7" t="s">
        <v>139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659</v>
      </c>
      <c r="C18" s="8" t="s">
        <v>138</v>
      </c>
      <c r="D18" s="8" t="s">
        <v>139</v>
      </c>
      <c r="E18" s="8">
        <v>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660</v>
      </c>
      <c r="C19" s="7" t="s">
        <v>55</v>
      </c>
      <c r="D19" s="7" t="s">
        <v>56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662</v>
      </c>
      <c r="C20" s="8" t="s">
        <v>537</v>
      </c>
      <c r="D20" s="8" t="s">
        <v>538</v>
      </c>
      <c r="E20" s="8">
        <v>2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663</v>
      </c>
      <c r="C21" s="7" t="s">
        <v>537</v>
      </c>
      <c r="D21" s="7" t="s">
        <v>538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664</v>
      </c>
      <c r="C22" s="8" t="s">
        <v>665</v>
      </c>
      <c r="D22" s="8" t="s">
        <v>666</v>
      </c>
      <c r="E22" s="8">
        <v>4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668</v>
      </c>
      <c r="C23" s="7" t="s">
        <v>81</v>
      </c>
      <c r="D23" s="7" t="s">
        <v>82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671</v>
      </c>
      <c r="C24" s="8" t="s">
        <v>138</v>
      </c>
      <c r="D24" s="8" t="s">
        <v>139</v>
      </c>
      <c r="E24" s="8">
        <v>1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673</v>
      </c>
      <c r="C25" s="7" t="s">
        <v>399</v>
      </c>
      <c r="D25" s="7" t="s">
        <v>400</v>
      </c>
      <c r="E25" s="7">
        <v>2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676</v>
      </c>
      <c r="C26" s="8" t="s">
        <v>272</v>
      </c>
      <c r="D26" s="8" t="s">
        <v>273</v>
      </c>
      <c r="E26" s="8">
        <v>2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683</v>
      </c>
      <c r="C27" s="7" t="s">
        <v>684</v>
      </c>
      <c r="D27" s="7" t="s">
        <v>685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688</v>
      </c>
      <c r="C28" s="8" t="s">
        <v>22</v>
      </c>
      <c r="D28" s="8" t="s">
        <v>24</v>
      </c>
      <c r="E28" s="8">
        <v>2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689</v>
      </c>
      <c r="C29" s="7" t="s">
        <v>297</v>
      </c>
      <c r="D29" s="7" t="s">
        <v>82</v>
      </c>
      <c r="E29" s="7">
        <v>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690</v>
      </c>
      <c r="C30" s="8" t="s">
        <v>297</v>
      </c>
      <c r="D30" s="8" t="s">
        <v>82</v>
      </c>
      <c r="E30" s="8">
        <v>1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807</v>
      </c>
      <c r="C31" s="7" t="s">
        <v>433</v>
      </c>
      <c r="D31" s="7" t="s">
        <v>434</v>
      </c>
      <c r="E31" s="7">
        <v>2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1174</v>
      </c>
      <c r="C32" s="8" t="s">
        <v>1000</v>
      </c>
      <c r="D32" s="8" t="s">
        <v>1001</v>
      </c>
      <c r="E32" s="8">
        <v>1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1175</v>
      </c>
      <c r="C33" s="7" t="s">
        <v>1000</v>
      </c>
      <c r="D33" s="7" t="s">
        <v>1001</v>
      </c>
      <c r="E33" s="7">
        <v>1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1067</v>
      </c>
      <c r="C34" s="8" t="s">
        <v>522</v>
      </c>
      <c r="D34" s="8" t="s">
        <v>523</v>
      </c>
      <c r="E34" s="8">
        <v>2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878</v>
      </c>
      <c r="C35" s="7" t="s">
        <v>522</v>
      </c>
      <c r="D35" s="7" t="s">
        <v>523</v>
      </c>
      <c r="E35" s="7">
        <v>4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1022</v>
      </c>
      <c r="C36" s="8" t="s">
        <v>519</v>
      </c>
      <c r="D36" s="8" t="s">
        <v>520</v>
      </c>
      <c r="E36" s="8">
        <v>2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719</v>
      </c>
      <c r="C37" s="7" t="s">
        <v>225</v>
      </c>
      <c r="D37" s="7" t="s">
        <v>226</v>
      </c>
      <c r="E37" s="7">
        <v>1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1204</v>
      </c>
      <c r="C38" s="8" t="s">
        <v>43</v>
      </c>
      <c r="D38" s="8" t="s">
        <v>44</v>
      </c>
      <c r="E38" s="8">
        <v>4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713</v>
      </c>
      <c r="C39" s="7" t="s">
        <v>43</v>
      </c>
      <c r="D39" s="7" t="s">
        <v>44</v>
      </c>
      <c r="E39" s="7">
        <v>1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1202</v>
      </c>
      <c r="C40" s="8" t="s">
        <v>43</v>
      </c>
      <c r="D40" s="8" t="s">
        <v>44</v>
      </c>
      <c r="E40" s="8">
        <v>2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386</v>
      </c>
      <c r="C41" s="7" t="s">
        <v>43</v>
      </c>
      <c r="D41" s="7" t="s">
        <v>44</v>
      </c>
      <c r="E41" s="7">
        <v>4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1187</v>
      </c>
      <c r="C42" s="8" t="s">
        <v>1140</v>
      </c>
      <c r="D42" s="8" t="s">
        <v>92</v>
      </c>
      <c r="E42" s="8">
        <v>12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541</v>
      </c>
      <c r="C43" s="7" t="s">
        <v>542</v>
      </c>
      <c r="D43" s="7" t="s">
        <v>523</v>
      </c>
      <c r="E43" s="7">
        <v>4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965</v>
      </c>
      <c r="C44" s="8" t="s">
        <v>217</v>
      </c>
      <c r="D44" s="8" t="s">
        <v>218</v>
      </c>
      <c r="E44" s="8">
        <v>8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1200</v>
      </c>
      <c r="C45" s="7" t="s">
        <v>217</v>
      </c>
      <c r="D45" s="7" t="s">
        <v>218</v>
      </c>
      <c r="E45" s="7">
        <v>2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>
      <c r="A46" s="8">
        <v>42</v>
      </c>
      <c r="B46" s="8" t="s">
        <v>788</v>
      </c>
      <c r="C46" s="8" t="s">
        <v>31</v>
      </c>
      <c r="D46" s="8" t="s">
        <v>32</v>
      </c>
      <c r="E46" s="8">
        <v>4</v>
      </c>
      <c r="F46" s="8" t="str">
        <f t="array" ref="F46">IFERROR(_xlfn.XLOOKUP(B46,#REF!,#REF!,""),"")</f>
        <v/>
      </c>
      <c r="G46" s="8" t="str">
        <f t="array" ref="G46">IFERROR(_xlfn.XLOOKUP(B46,#REF!,#REF!,""),"")</f>
        <v/>
      </c>
      <c r="H46" s="8" t="str">
        <f t="array" ref="H46">IFERROR(_xlfn.XLOOKUP(B46,#REF!,#REF!,""),"")</f>
        <v/>
      </c>
      <c r="I46" s="3"/>
      <c r="J46" s="3"/>
    </row>
    <row r="47" spans="1:10" ht="15.75" customHeight="1" x14ac:dyDescent="0.3">
      <c r="A47" s="7">
        <v>43</v>
      </c>
      <c r="B47" s="7" t="s">
        <v>184</v>
      </c>
      <c r="C47" s="7" t="s">
        <v>31</v>
      </c>
      <c r="D47" s="7" t="s">
        <v>32</v>
      </c>
      <c r="E47" s="7">
        <v>16</v>
      </c>
      <c r="F47" s="7" t="str">
        <f t="array" ref="F47">IFERROR(_xlfn.XLOOKUP(B47,#REF!,#REF!,""),"")</f>
        <v/>
      </c>
      <c r="G47" s="7" t="str">
        <f t="array" ref="G47">IFERROR(_xlfn.XLOOKUP(B47,#REF!,#REF!,""),"")</f>
        <v/>
      </c>
      <c r="H47" s="7" t="str">
        <f t="array" ref="H47">IFERROR(_xlfn.XLOOKUP(B47,#REF!,#REF!,""),"")</f>
        <v/>
      </c>
      <c r="I47" s="3"/>
      <c r="J47" s="3"/>
    </row>
    <row r="48" spans="1:10" ht="15.75" customHeight="1" x14ac:dyDescent="0.3">
      <c r="A48" s="8">
        <v>44</v>
      </c>
      <c r="B48" s="8" t="s">
        <v>201</v>
      </c>
      <c r="C48" s="8" t="s">
        <v>31</v>
      </c>
      <c r="D48" s="8" t="s">
        <v>32</v>
      </c>
      <c r="E48" s="8">
        <v>20</v>
      </c>
      <c r="F48" s="8" t="str">
        <f t="array" ref="F48">IFERROR(_xlfn.XLOOKUP(B48,#REF!,#REF!,""),"")</f>
        <v/>
      </c>
      <c r="G48" s="8" t="str">
        <f t="array" ref="G48">IFERROR(_xlfn.XLOOKUP(B48,#REF!,#REF!,""),"")</f>
        <v/>
      </c>
      <c r="H48" s="8" t="str">
        <f t="array" ref="H48">IFERROR(_xlfn.XLOOKUP(B48,#REF!,#REF!,""),"")</f>
        <v/>
      </c>
      <c r="I48" s="3"/>
      <c r="J48" s="3"/>
    </row>
    <row r="49" spans="1:10" ht="15.75" customHeight="1" x14ac:dyDescent="0.3">
      <c r="A49" s="7">
        <v>45</v>
      </c>
      <c r="B49" s="7" t="s">
        <v>1199</v>
      </c>
      <c r="C49" s="7" t="s">
        <v>710</v>
      </c>
      <c r="D49" s="7" t="s">
        <v>711</v>
      </c>
      <c r="E49" s="7">
        <v>4</v>
      </c>
      <c r="F49" s="7" t="str">
        <f t="array" ref="F49">IFERROR(_xlfn.XLOOKUP(B49,#REF!,#REF!,""),"")</f>
        <v/>
      </c>
      <c r="G49" s="7" t="str">
        <f t="array" ref="G49">IFERROR(_xlfn.XLOOKUP(B49,#REF!,#REF!,""),"")</f>
        <v/>
      </c>
      <c r="H49" s="7" t="str">
        <f t="array" ref="H49">IFERROR(_xlfn.XLOOKUP(B49,#REF!,#REF!,""),"")</f>
        <v/>
      </c>
      <c r="I49" s="3"/>
      <c r="J49" s="3"/>
    </row>
    <row r="50" spans="1:10" ht="15.75" customHeight="1" x14ac:dyDescent="0.3">
      <c r="A50" s="8">
        <v>46</v>
      </c>
      <c r="B50" s="8" t="s">
        <v>1198</v>
      </c>
      <c r="C50" s="8" t="s">
        <v>1107</v>
      </c>
      <c r="D50" s="8" t="s">
        <v>1108</v>
      </c>
      <c r="E50" s="8">
        <v>4</v>
      </c>
      <c r="F50" s="8" t="str">
        <f t="array" ref="F50">IFERROR(_xlfn.XLOOKUP(B50,#REF!,#REF!,""),"")</f>
        <v/>
      </c>
      <c r="G50" s="8" t="str">
        <f t="array" ref="G50">IFERROR(_xlfn.XLOOKUP(B50,#REF!,#REF!,""),"")</f>
        <v/>
      </c>
      <c r="H50" s="8" t="str">
        <f t="array" ref="H50">IFERROR(_xlfn.XLOOKUP(B50,#REF!,#REF!,""),"")</f>
        <v/>
      </c>
      <c r="I50" s="3"/>
      <c r="J50" s="3"/>
    </row>
    <row r="51" spans="1:10" ht="15.75" customHeight="1" x14ac:dyDescent="0.3">
      <c r="A51" s="7">
        <v>47</v>
      </c>
      <c r="B51" s="7" t="s">
        <v>539</v>
      </c>
      <c r="C51" s="7" t="s">
        <v>328</v>
      </c>
      <c r="D51" s="7" t="s">
        <v>456</v>
      </c>
      <c r="E51" s="7">
        <v>1</v>
      </c>
      <c r="F51" s="7" t="str">
        <f t="array" ref="F51">IFERROR(_xlfn.XLOOKUP(B51,#REF!,#REF!,""),"")</f>
        <v/>
      </c>
      <c r="G51" s="7" t="str">
        <f t="array" ref="G51">IFERROR(_xlfn.XLOOKUP(B51,#REF!,#REF!,""),"")</f>
        <v/>
      </c>
      <c r="H51" s="7" t="str">
        <f t="array" ref="H51">IFERROR(_xlfn.XLOOKUP(B51,#REF!,#REF!,""),"")</f>
        <v/>
      </c>
      <c r="I51" s="3"/>
      <c r="J51" s="3"/>
    </row>
    <row r="52" spans="1:10" ht="15.75" customHeight="1" x14ac:dyDescent="0.3">
      <c r="A52" s="8">
        <v>48</v>
      </c>
      <c r="B52" s="8" t="s">
        <v>487</v>
      </c>
      <c r="C52" s="8" t="s">
        <v>328</v>
      </c>
      <c r="D52" s="8" t="s">
        <v>456</v>
      </c>
      <c r="E52" s="8">
        <v>3</v>
      </c>
      <c r="F52" s="8" t="str">
        <f t="array" ref="F52">IFERROR(_xlfn.XLOOKUP(B52,#REF!,#REF!,""),"")</f>
        <v/>
      </c>
      <c r="G52" s="8" t="str">
        <f t="array" ref="G52">IFERROR(_xlfn.XLOOKUP(B52,#REF!,#REF!,""),"")</f>
        <v/>
      </c>
      <c r="H52" s="8" t="str">
        <f t="array" ref="H52">IFERROR(_xlfn.XLOOKUP(B52,#REF!,#REF!,""),"")</f>
        <v/>
      </c>
      <c r="I52" s="3"/>
      <c r="J52" s="3"/>
    </row>
    <row r="53" spans="1:10" ht="15.75" customHeight="1" x14ac:dyDescent="0.3">
      <c r="A53" s="7">
        <v>49</v>
      </c>
      <c r="B53" s="7" t="s">
        <v>1197</v>
      </c>
      <c r="C53" s="7" t="s">
        <v>433</v>
      </c>
      <c r="D53" s="7" t="s">
        <v>434</v>
      </c>
      <c r="E53" s="7">
        <v>1</v>
      </c>
      <c r="F53" s="7" t="str">
        <f t="array" ref="F53">IFERROR(_xlfn.XLOOKUP(B53,#REF!,#REF!,""),"")</f>
        <v/>
      </c>
      <c r="G53" s="7" t="str">
        <f t="array" ref="G53">IFERROR(_xlfn.XLOOKUP(B53,#REF!,#REF!,""),"")</f>
        <v/>
      </c>
      <c r="H53" s="7" t="str">
        <f t="array" ref="H53">IFERROR(_xlfn.XLOOKUP(B53,#REF!,#REF!,""),"")</f>
        <v/>
      </c>
      <c r="I53" s="3"/>
      <c r="J53" s="3"/>
    </row>
    <row r="54" spans="1:10" ht="15.75" customHeight="1" x14ac:dyDescent="0.3">
      <c r="A54" s="8">
        <v>50</v>
      </c>
      <c r="B54" s="8" t="s">
        <v>176</v>
      </c>
      <c r="C54" s="8" t="s">
        <v>177</v>
      </c>
      <c r="D54" s="8" t="s">
        <v>177</v>
      </c>
      <c r="E54" s="8">
        <v>2</v>
      </c>
      <c r="F54" s="8" t="str">
        <f t="array" ref="F54">IFERROR(_xlfn.XLOOKUP(B54,#REF!,#REF!,""),"")</f>
        <v/>
      </c>
      <c r="G54" s="8" t="str">
        <f t="array" ref="G54">IFERROR(_xlfn.XLOOKUP(B54,#REF!,#REF!,""),"")</f>
        <v/>
      </c>
      <c r="H54" s="8" t="str">
        <f t="array" ref="H54">IFERROR(_xlfn.XLOOKUP(B54,#REF!,#REF!,""),"")</f>
        <v/>
      </c>
      <c r="I54" s="3"/>
      <c r="J54" s="3"/>
    </row>
    <row r="55" spans="1:10" ht="15.75" customHeight="1" x14ac:dyDescent="0.3">
      <c r="A55" s="7">
        <v>51</v>
      </c>
      <c r="B55" s="7" t="s">
        <v>186</v>
      </c>
      <c r="C55" s="7" t="s">
        <v>31</v>
      </c>
      <c r="D55" s="7" t="s">
        <v>32</v>
      </c>
      <c r="E55" s="7">
        <v>2</v>
      </c>
      <c r="F55" s="7" t="str">
        <f t="array" ref="F55">IFERROR(_xlfn.XLOOKUP(B55,#REF!,#REF!,""),"")</f>
        <v/>
      </c>
      <c r="G55" s="7" t="str">
        <f t="array" ref="G55">IFERROR(_xlfn.XLOOKUP(B55,#REF!,#REF!,""),"")</f>
        <v/>
      </c>
      <c r="H55" s="7" t="str">
        <f t="array" ref="H55">IFERROR(_xlfn.XLOOKUP(B55,#REF!,#REF!,""),"")</f>
        <v/>
      </c>
      <c r="I55" s="3"/>
      <c r="J55" s="3"/>
    </row>
    <row r="56" spans="1:10" ht="15.75" customHeight="1" x14ac:dyDescent="0.3">
      <c r="A56" s="8">
        <v>52</v>
      </c>
      <c r="B56" s="8" t="s">
        <v>610</v>
      </c>
      <c r="C56" s="8" t="s">
        <v>31</v>
      </c>
      <c r="D56" s="8" t="s">
        <v>32</v>
      </c>
      <c r="E56" s="8">
        <v>2</v>
      </c>
      <c r="F56" s="8" t="str">
        <f t="array" ref="F56">IFERROR(_xlfn.XLOOKUP(B56,#REF!,#REF!,""),"")</f>
        <v/>
      </c>
      <c r="G56" s="8" t="str">
        <f t="array" ref="G56">IFERROR(_xlfn.XLOOKUP(B56,#REF!,#REF!,""),"")</f>
        <v/>
      </c>
      <c r="H56" s="8" t="str">
        <f t="array" ref="H56">IFERROR(_xlfn.XLOOKUP(B56,#REF!,#REF!,""),"")</f>
        <v/>
      </c>
      <c r="I56" s="3"/>
      <c r="J56" s="3"/>
    </row>
    <row r="57" spans="1:10" ht="15.75" customHeight="1" x14ac:dyDescent="0.3">
      <c r="A57" s="7">
        <v>53</v>
      </c>
      <c r="B57" s="7" t="s">
        <v>173</v>
      </c>
      <c r="C57" s="7" t="s">
        <v>31</v>
      </c>
      <c r="D57" s="7" t="s">
        <v>32</v>
      </c>
      <c r="E57" s="7">
        <v>8</v>
      </c>
      <c r="F57" s="7" t="str">
        <f t="array" ref="F57">IFERROR(_xlfn.XLOOKUP(B57,#REF!,#REF!,""),"")</f>
        <v/>
      </c>
      <c r="G57" s="7" t="str">
        <f t="array" ref="G57">IFERROR(_xlfn.XLOOKUP(B57,#REF!,#REF!,""),"")</f>
        <v/>
      </c>
      <c r="H57" s="7" t="str">
        <f t="array" ref="H57">IFERROR(_xlfn.XLOOKUP(B57,#REF!,#REF!,""),"")</f>
        <v/>
      </c>
      <c r="I57" s="3"/>
      <c r="J57" s="3"/>
    </row>
    <row r="58" spans="1:10" ht="15.75" customHeight="1" x14ac:dyDescent="0.3">
      <c r="A58" s="8">
        <v>54</v>
      </c>
      <c r="B58" s="8" t="s">
        <v>164</v>
      </c>
      <c r="C58" s="8" t="s">
        <v>31</v>
      </c>
      <c r="D58" s="8" t="s">
        <v>32</v>
      </c>
      <c r="E58" s="8">
        <v>32</v>
      </c>
      <c r="F58" s="8" t="str">
        <f t="array" ref="F58">IFERROR(_xlfn.XLOOKUP(B58,#REF!,#REF!,""),"")</f>
        <v/>
      </c>
      <c r="G58" s="8" t="str">
        <f t="array" ref="G58">IFERROR(_xlfn.XLOOKUP(B58,#REF!,#REF!,""),"")</f>
        <v/>
      </c>
      <c r="H58" s="8" t="str">
        <f t="array" ref="H58">IFERROR(_xlfn.XLOOKUP(B58,#REF!,#REF!,""),"")</f>
        <v/>
      </c>
      <c r="I58" s="3"/>
      <c r="J58" s="3"/>
    </row>
    <row r="59" spans="1:10" ht="15.75" customHeight="1" x14ac:dyDescent="0.3">
      <c r="A59" s="7">
        <v>55</v>
      </c>
      <c r="B59" s="7" t="s">
        <v>157</v>
      </c>
      <c r="C59" s="7" t="s">
        <v>31</v>
      </c>
      <c r="D59" s="7" t="s">
        <v>32</v>
      </c>
      <c r="E59" s="7">
        <v>24</v>
      </c>
      <c r="F59" s="7" t="str">
        <f t="array" ref="F59">IFERROR(_xlfn.XLOOKUP(B59,#REF!,#REF!,""),"")</f>
        <v/>
      </c>
      <c r="G59" s="7" t="str">
        <f t="array" ref="G59">IFERROR(_xlfn.XLOOKUP(B59,#REF!,#REF!,""),"")</f>
        <v/>
      </c>
      <c r="H59" s="7" t="str">
        <f t="array" ref="H59">IFERROR(_xlfn.XLOOKUP(B59,#REF!,#REF!,""),"")</f>
        <v/>
      </c>
      <c r="I59" s="3"/>
      <c r="J59" s="3"/>
    </row>
    <row r="60" spans="1:10" ht="15.75" customHeight="1" x14ac:dyDescent="0.3">
      <c r="A60" s="8">
        <v>56</v>
      </c>
      <c r="B60" s="8" t="s">
        <v>1196</v>
      </c>
      <c r="C60" s="8" t="s">
        <v>332</v>
      </c>
      <c r="D60" s="8" t="s">
        <v>333</v>
      </c>
      <c r="E60" s="8">
        <v>2</v>
      </c>
      <c r="F60" s="8" t="str">
        <f t="array" ref="F60">IFERROR(_xlfn.XLOOKUP(B60,#REF!,#REF!,""),"")</f>
        <v/>
      </c>
      <c r="G60" s="8" t="str">
        <f t="array" ref="G60">IFERROR(_xlfn.XLOOKUP(B60,#REF!,#REF!,""),"")</f>
        <v/>
      </c>
      <c r="H60" s="8" t="str">
        <f t="array" ref="H60">IFERROR(_xlfn.XLOOKUP(B60,#REF!,#REF!,""),"")</f>
        <v/>
      </c>
      <c r="I60" s="3"/>
      <c r="J60" s="3"/>
    </row>
    <row r="61" spans="1:10" ht="15.75" customHeight="1" x14ac:dyDescent="0.3">
      <c r="A61" s="7">
        <v>57</v>
      </c>
      <c r="B61" s="7" t="s">
        <v>733</v>
      </c>
      <c r="C61" s="7" t="s">
        <v>332</v>
      </c>
      <c r="D61" s="7" t="s">
        <v>333</v>
      </c>
      <c r="E61" s="7">
        <v>3</v>
      </c>
      <c r="F61" s="7" t="str">
        <f t="array" ref="F61">IFERROR(_xlfn.XLOOKUP(B61,#REF!,#REF!,""),"")</f>
        <v/>
      </c>
      <c r="G61" s="7" t="str">
        <f t="array" ref="G61">IFERROR(_xlfn.XLOOKUP(B61,#REF!,#REF!,""),"")</f>
        <v/>
      </c>
      <c r="H61" s="7" t="str">
        <f t="array" ref="H61">IFERROR(_xlfn.XLOOKUP(B61,#REF!,#REF!,""),"")</f>
        <v/>
      </c>
      <c r="I61" s="3"/>
      <c r="J61" s="3"/>
    </row>
    <row r="62" spans="1:10" ht="15.75" customHeight="1" x14ac:dyDescent="0.3">
      <c r="A62" s="8">
        <v>58</v>
      </c>
      <c r="B62" s="8" t="s">
        <v>554</v>
      </c>
      <c r="C62" s="8" t="s">
        <v>555</v>
      </c>
      <c r="D62" s="8" t="s">
        <v>556</v>
      </c>
      <c r="E62" s="8">
        <v>4</v>
      </c>
      <c r="F62" s="8" t="str">
        <f t="array" ref="F62">IFERROR(_xlfn.XLOOKUP(B62,#REF!,#REF!,""),"")</f>
        <v/>
      </c>
      <c r="G62" s="8" t="str">
        <f t="array" ref="G62">IFERROR(_xlfn.XLOOKUP(B62,#REF!,#REF!,""),"")</f>
        <v/>
      </c>
      <c r="H62" s="8" t="str">
        <f t="array" ref="H62">IFERROR(_xlfn.XLOOKUP(B62,#REF!,#REF!,""),"")</f>
        <v/>
      </c>
      <c r="I62" s="3"/>
      <c r="J62" s="3"/>
    </row>
    <row r="63" spans="1:10" ht="15.75" customHeight="1" x14ac:dyDescent="0.3">
      <c r="A63" s="7">
        <v>59</v>
      </c>
      <c r="B63" s="7" t="s">
        <v>1195</v>
      </c>
      <c r="C63" s="7" t="s">
        <v>153</v>
      </c>
      <c r="D63" s="7" t="s">
        <v>154</v>
      </c>
      <c r="E63" s="7">
        <v>1</v>
      </c>
      <c r="F63" s="7" t="str">
        <f t="array" ref="F63">IFERROR(_xlfn.XLOOKUP(B63,#REF!,#REF!,""),"")</f>
        <v/>
      </c>
      <c r="G63" s="7" t="str">
        <f t="array" ref="G63">IFERROR(_xlfn.XLOOKUP(B63,#REF!,#REF!,""),"")</f>
        <v/>
      </c>
      <c r="H63" s="7" t="str">
        <f t="array" ref="H63">IFERROR(_xlfn.XLOOKUP(B63,#REF!,#REF!,""),"")</f>
        <v/>
      </c>
      <c r="I63" s="3"/>
      <c r="J63" s="3"/>
    </row>
    <row r="64" spans="1:10" ht="15.75" customHeight="1" x14ac:dyDescent="0.3">
      <c r="A64" s="8">
        <v>60</v>
      </c>
      <c r="B64" s="8" t="s">
        <v>132</v>
      </c>
      <c r="C64" s="8" t="s">
        <v>72</v>
      </c>
      <c r="D64" s="8" t="s">
        <v>73</v>
      </c>
      <c r="E64" s="8">
        <v>7</v>
      </c>
      <c r="F64" s="8" t="str">
        <f t="array" ref="F64">IFERROR(_xlfn.XLOOKUP(B64,#REF!,#REF!,""),"")</f>
        <v/>
      </c>
      <c r="G64" s="8" t="str">
        <f t="array" ref="G64">IFERROR(_xlfn.XLOOKUP(B64,#REF!,#REF!,""),"")</f>
        <v/>
      </c>
      <c r="H64" s="8" t="str">
        <f t="array" ref="H64">IFERROR(_xlfn.XLOOKUP(B64,#REF!,#REF!,""),"")</f>
        <v/>
      </c>
      <c r="I64" s="3"/>
      <c r="J64" s="3"/>
    </row>
    <row r="65" spans="1:10" ht="15.75" customHeight="1" x14ac:dyDescent="0.3">
      <c r="A65" s="7">
        <v>61</v>
      </c>
      <c r="B65" s="7" t="s">
        <v>525</v>
      </c>
      <c r="C65" s="7" t="s">
        <v>328</v>
      </c>
      <c r="D65" s="7" t="s">
        <v>329</v>
      </c>
      <c r="E65" s="7">
        <v>1</v>
      </c>
      <c r="F65" s="7" t="str">
        <f t="array" ref="F65">IFERROR(_xlfn.XLOOKUP(B65,#REF!,#REF!,""),"")</f>
        <v/>
      </c>
      <c r="G65" s="7" t="str">
        <f t="array" ref="G65">IFERROR(_xlfn.XLOOKUP(B65,#REF!,#REF!,""),"")</f>
        <v/>
      </c>
      <c r="H65" s="7" t="str">
        <f t="array" ref="H65">IFERROR(_xlfn.XLOOKUP(B65,#REF!,#REF!,""),"")</f>
        <v/>
      </c>
      <c r="I65" s="3"/>
      <c r="J65" s="3"/>
    </row>
    <row r="66" spans="1:10" ht="15.75" customHeight="1" x14ac:dyDescent="0.3">
      <c r="A66" s="8">
        <v>62</v>
      </c>
      <c r="B66" s="8" t="s">
        <v>1183</v>
      </c>
      <c r="C66" s="8" t="s">
        <v>328</v>
      </c>
      <c r="D66" s="8" t="s">
        <v>329</v>
      </c>
      <c r="E66" s="8">
        <v>1</v>
      </c>
      <c r="F66" s="8" t="str">
        <f t="array" ref="F66">IFERROR(_xlfn.XLOOKUP(B66,#REF!,#REF!,""),"")</f>
        <v/>
      </c>
      <c r="G66" s="8" t="str">
        <f t="array" ref="G66">IFERROR(_xlfn.XLOOKUP(B66,#REF!,#REF!,""),"")</f>
        <v/>
      </c>
      <c r="H66" s="8" t="str">
        <f t="array" ref="H66">IFERROR(_xlfn.XLOOKUP(B66,#REF!,#REF!,""),"")</f>
        <v/>
      </c>
      <c r="I66" s="3"/>
      <c r="J66" s="3"/>
    </row>
    <row r="67" spans="1:10" ht="15.75" customHeight="1" x14ac:dyDescent="0.3">
      <c r="A67" s="7">
        <v>63</v>
      </c>
      <c r="B67" s="7" t="s">
        <v>1076</v>
      </c>
      <c r="C67" s="7" t="s">
        <v>328</v>
      </c>
      <c r="D67" s="7" t="s">
        <v>329</v>
      </c>
      <c r="E67" s="7">
        <v>7</v>
      </c>
      <c r="F67" s="7" t="str">
        <f t="array" ref="F67">IFERROR(_xlfn.XLOOKUP(B67,#REF!,#REF!,""),"")</f>
        <v/>
      </c>
      <c r="G67" s="7" t="str">
        <f t="array" ref="G67">IFERROR(_xlfn.XLOOKUP(B67,#REF!,#REF!,""),"")</f>
        <v/>
      </c>
      <c r="H67" s="7" t="str">
        <f t="array" ref="H67">IFERROR(_xlfn.XLOOKUP(B67,#REF!,#REF!,""),"")</f>
        <v/>
      </c>
      <c r="I67" s="3"/>
      <c r="J67" s="3"/>
    </row>
    <row r="68" spans="1:10" ht="15.75" customHeight="1" x14ac:dyDescent="0.3">
      <c r="A68" s="8">
        <v>64</v>
      </c>
      <c r="B68" s="8" t="s">
        <v>728</v>
      </c>
      <c r="C68" s="8" t="s">
        <v>153</v>
      </c>
      <c r="D68" s="8" t="s">
        <v>154</v>
      </c>
      <c r="E68" s="8">
        <v>3</v>
      </c>
      <c r="F68" s="8" t="str">
        <f t="array" ref="F68">IFERROR(_xlfn.XLOOKUP(B68,#REF!,#REF!,""),"")</f>
        <v/>
      </c>
      <c r="G68" s="8" t="str">
        <f t="array" ref="G68">IFERROR(_xlfn.XLOOKUP(B68,#REF!,#REF!,""),"")</f>
        <v/>
      </c>
      <c r="H68" s="8" t="str">
        <f t="array" ref="H68">IFERROR(_xlfn.XLOOKUP(B68,#REF!,#REF!,""),"")</f>
        <v/>
      </c>
      <c r="I68" s="3"/>
      <c r="J68" s="3"/>
    </row>
    <row r="69" spans="1:10" ht="15.75" customHeight="1" x14ac:dyDescent="0.3">
      <c r="A69" s="7">
        <v>65</v>
      </c>
      <c r="B69" s="7" t="s">
        <v>1194</v>
      </c>
      <c r="C69" s="7" t="s">
        <v>328</v>
      </c>
      <c r="D69" s="7" t="s">
        <v>329</v>
      </c>
      <c r="E69" s="7">
        <v>8</v>
      </c>
      <c r="F69" s="7" t="str">
        <f t="array" ref="F69">IFERROR(_xlfn.XLOOKUP(B69,#REF!,#REF!,""),"")</f>
        <v/>
      </c>
      <c r="G69" s="7" t="str">
        <f t="array" ref="G69">IFERROR(_xlfn.XLOOKUP(B69,#REF!,#REF!,""),"")</f>
        <v/>
      </c>
      <c r="H69" s="7" t="str">
        <f t="array" ref="H69">IFERROR(_xlfn.XLOOKUP(B69,#REF!,#REF!,""),"")</f>
        <v/>
      </c>
      <c r="I69" s="3"/>
      <c r="J69" s="3"/>
    </row>
    <row r="70" spans="1:10" ht="15.75" customHeight="1" x14ac:dyDescent="0.3">
      <c r="A70" s="8">
        <v>66</v>
      </c>
      <c r="B70" s="8" t="s">
        <v>1193</v>
      </c>
      <c r="C70" s="8" t="s">
        <v>328</v>
      </c>
      <c r="D70" s="8" t="s">
        <v>329</v>
      </c>
      <c r="E70" s="8">
        <v>3</v>
      </c>
      <c r="F70" s="8" t="str">
        <f t="array" ref="F70">IFERROR(_xlfn.XLOOKUP(B70,#REF!,#REF!,""),"")</f>
        <v/>
      </c>
      <c r="G70" s="8" t="str">
        <f t="array" ref="G70">IFERROR(_xlfn.XLOOKUP(B70,#REF!,#REF!,""),"")</f>
        <v/>
      </c>
      <c r="H70" s="8" t="str">
        <f t="array" ref="H70">IFERROR(_xlfn.XLOOKUP(B70,#REF!,#REF!,""),"")</f>
        <v/>
      </c>
      <c r="I70" s="3"/>
      <c r="J70" s="3"/>
    </row>
    <row r="71" spans="1:10" ht="15.75" customHeight="1" x14ac:dyDescent="0.3">
      <c r="A71" s="7">
        <v>67</v>
      </c>
      <c r="B71" s="7" t="s">
        <v>724</v>
      </c>
      <c r="C71" s="7" t="s">
        <v>328</v>
      </c>
      <c r="D71" s="7" t="s">
        <v>329</v>
      </c>
      <c r="E71" s="7">
        <v>3</v>
      </c>
      <c r="F71" s="7" t="str">
        <f t="array" ref="F71">IFERROR(_xlfn.XLOOKUP(B71,#REF!,#REF!,""),"")</f>
        <v/>
      </c>
      <c r="G71" s="7" t="str">
        <f t="array" ref="G71">IFERROR(_xlfn.XLOOKUP(B71,#REF!,#REF!,""),"")</f>
        <v/>
      </c>
      <c r="H71" s="7" t="str">
        <f t="array" ref="H71">IFERROR(_xlfn.XLOOKUP(B71,#REF!,#REF!,""),"")</f>
        <v/>
      </c>
      <c r="I71" s="3"/>
      <c r="J71" s="3"/>
    </row>
    <row r="72" spans="1:10" ht="15.75" customHeight="1" x14ac:dyDescent="0.3">
      <c r="A72" s="8">
        <v>68</v>
      </c>
      <c r="B72" s="8" t="s">
        <v>1192</v>
      </c>
      <c r="C72" s="8" t="s">
        <v>1107</v>
      </c>
      <c r="D72" s="8" t="s">
        <v>1108</v>
      </c>
      <c r="E72" s="8">
        <v>1</v>
      </c>
      <c r="F72" s="8" t="str">
        <f t="array" ref="F72">IFERROR(_xlfn.XLOOKUP(B72,#REF!,#REF!,""),"")</f>
        <v/>
      </c>
      <c r="G72" s="8" t="str">
        <f t="array" ref="G72">IFERROR(_xlfn.XLOOKUP(B72,#REF!,#REF!,""),"")</f>
        <v/>
      </c>
      <c r="H72" s="8" t="str">
        <f t="array" ref="H72">IFERROR(_xlfn.XLOOKUP(B72,#REF!,#REF!,""),"")</f>
        <v/>
      </c>
      <c r="I72" s="3"/>
      <c r="J72" s="3"/>
    </row>
    <row r="73" spans="1:10" ht="15.75" customHeight="1" x14ac:dyDescent="0.3">
      <c r="A73" s="7">
        <v>69</v>
      </c>
      <c r="B73" s="7" t="s">
        <v>1191</v>
      </c>
      <c r="C73" s="7" t="s">
        <v>537</v>
      </c>
      <c r="D73" s="7" t="s">
        <v>538</v>
      </c>
      <c r="E73" s="7">
        <v>4</v>
      </c>
      <c r="F73" s="7" t="str">
        <f t="array" ref="F73">IFERROR(_xlfn.XLOOKUP(B73,#REF!,#REF!,""),"")</f>
        <v/>
      </c>
      <c r="G73" s="7" t="str">
        <f t="array" ref="G73">IFERROR(_xlfn.XLOOKUP(B73,#REF!,#REF!,""),"")</f>
        <v/>
      </c>
      <c r="H73" s="7" t="str">
        <f t="array" ref="H73">IFERROR(_xlfn.XLOOKUP(B73,#REF!,#REF!,""),"")</f>
        <v/>
      </c>
      <c r="I73" s="3"/>
      <c r="J73" s="3"/>
    </row>
    <row r="74" spans="1:10" ht="15.75" customHeight="1" x14ac:dyDescent="0.3">
      <c r="A74" s="8">
        <v>70</v>
      </c>
      <c r="B74" s="8" t="s">
        <v>100</v>
      </c>
      <c r="C74" s="8" t="s">
        <v>21</v>
      </c>
      <c r="D74" s="8" t="s">
        <v>23</v>
      </c>
      <c r="E74" s="8">
        <v>2</v>
      </c>
      <c r="F74" s="8" t="str">
        <f t="array" ref="F74">IFERROR(_xlfn.XLOOKUP(B74,#REF!,#REF!,""),"")</f>
        <v/>
      </c>
      <c r="G74" s="8" t="str">
        <f t="array" ref="G74">IFERROR(_xlfn.XLOOKUP(B74,#REF!,#REF!,""),"")</f>
        <v/>
      </c>
      <c r="H74" s="8" t="str">
        <f t="array" ref="H74">IFERROR(_xlfn.XLOOKUP(B74,#REF!,#REF!,""),"")</f>
        <v/>
      </c>
      <c r="I74" s="3"/>
      <c r="J74" s="3"/>
    </row>
    <row r="75" spans="1:10" ht="15.75" customHeight="1" x14ac:dyDescent="0.3">
      <c r="A75" s="7">
        <v>71</v>
      </c>
      <c r="B75" s="7" t="s">
        <v>994</v>
      </c>
      <c r="C75" s="7" t="s">
        <v>21</v>
      </c>
      <c r="D75" s="7" t="s">
        <v>23</v>
      </c>
      <c r="E75" s="7">
        <v>4</v>
      </c>
      <c r="F75" s="7" t="str">
        <f t="array" ref="F75">IFERROR(_xlfn.XLOOKUP(B75,#REF!,#REF!,""),"")</f>
        <v/>
      </c>
      <c r="G75" s="7" t="str">
        <f t="array" ref="G75">IFERROR(_xlfn.XLOOKUP(B75,#REF!,#REF!,""),"")</f>
        <v/>
      </c>
      <c r="H75" s="7" t="str">
        <f t="array" ref="H75">IFERROR(_xlfn.XLOOKUP(B75,#REF!,#REF!,""),"")</f>
        <v/>
      </c>
      <c r="I75" s="3"/>
      <c r="J75" s="3"/>
    </row>
    <row r="76" spans="1:10" ht="15.75" customHeight="1" x14ac:dyDescent="0.3">
      <c r="A76" s="8">
        <v>72</v>
      </c>
      <c r="B76" s="8" t="s">
        <v>1189</v>
      </c>
      <c r="C76" s="8" t="s">
        <v>21</v>
      </c>
      <c r="D76" s="8" t="s">
        <v>23</v>
      </c>
      <c r="E76" s="8">
        <v>8</v>
      </c>
      <c r="F76" s="8" t="str">
        <f t="array" ref="F76">IFERROR(_xlfn.XLOOKUP(B76,#REF!,#REF!,""),"")</f>
        <v/>
      </c>
      <c r="G76" s="8" t="str">
        <f t="array" ref="G76">IFERROR(_xlfn.XLOOKUP(B76,#REF!,#REF!,""),"")</f>
        <v/>
      </c>
      <c r="H76" s="8" t="str">
        <f t="array" ref="H76">IFERROR(_xlfn.XLOOKUP(B76,#REF!,#REF!,""),"")</f>
        <v/>
      </c>
      <c r="I76" s="3"/>
      <c r="J76" s="3"/>
    </row>
    <row r="77" spans="1:10" ht="15.75" customHeight="1" x14ac:dyDescent="0.3">
      <c r="A77" s="7">
        <v>73</v>
      </c>
      <c r="B77" s="7" t="s">
        <v>1188</v>
      </c>
      <c r="C77" s="7" t="s">
        <v>21</v>
      </c>
      <c r="D77" s="7" t="s">
        <v>23</v>
      </c>
      <c r="E77" s="7">
        <v>8</v>
      </c>
      <c r="F77" s="7" t="str">
        <f t="array" ref="F77">IFERROR(_xlfn.XLOOKUP(B77,#REF!,#REF!,""),"")</f>
        <v/>
      </c>
      <c r="G77" s="7" t="str">
        <f t="array" ref="G77">IFERROR(_xlfn.XLOOKUP(B77,#REF!,#REF!,""),"")</f>
        <v/>
      </c>
      <c r="H77" s="7" t="str">
        <f t="array" ref="H77">IFERROR(_xlfn.XLOOKUP(B77,#REF!,#REF!,""),"")</f>
        <v/>
      </c>
      <c r="I77" s="3"/>
      <c r="J77" s="3"/>
    </row>
    <row r="78" spans="1:10" ht="15.75" customHeight="1" x14ac:dyDescent="0.3">
      <c r="A78" s="8">
        <v>74</v>
      </c>
      <c r="B78" s="8" t="s">
        <v>61</v>
      </c>
      <c r="C78" s="8" t="s">
        <v>21</v>
      </c>
      <c r="D78" s="8" t="s">
        <v>23</v>
      </c>
      <c r="E78" s="8">
        <v>4</v>
      </c>
      <c r="F78" s="8" t="str">
        <f t="array" ref="F78">IFERROR(_xlfn.XLOOKUP(B78,#REF!,#REF!,""),"")</f>
        <v/>
      </c>
      <c r="G78" s="8" t="str">
        <f t="array" ref="G78">IFERROR(_xlfn.XLOOKUP(B78,#REF!,#REF!,""),"")</f>
        <v/>
      </c>
      <c r="H78" s="8" t="str">
        <f t="array" ref="H78">IFERROR(_xlfn.XLOOKUP(B78,#REF!,#REF!,""),"")</f>
        <v/>
      </c>
      <c r="I78" s="3"/>
      <c r="J78" s="3"/>
    </row>
    <row r="79" spans="1:10" ht="15.75" customHeight="1" x14ac:dyDescent="0.3">
      <c r="A79" s="7">
        <v>75</v>
      </c>
      <c r="B79" s="7" t="s">
        <v>632</v>
      </c>
      <c r="C79" s="7" t="s">
        <v>21</v>
      </c>
      <c r="D79" s="7" t="s">
        <v>23</v>
      </c>
      <c r="E79" s="7">
        <v>4</v>
      </c>
      <c r="F79" s="7" t="str">
        <f t="array" ref="F79">IFERROR(_xlfn.XLOOKUP(B79,#REF!,#REF!,""),"")</f>
        <v/>
      </c>
      <c r="G79" s="7" t="str">
        <f t="array" ref="G79">IFERROR(_xlfn.XLOOKUP(B79,#REF!,#REF!,""),"")</f>
        <v/>
      </c>
      <c r="H79" s="7" t="str">
        <f t="array" ref="H79">IFERROR(_xlfn.XLOOKUP(B79,#REF!,#REF!,""),"")</f>
        <v/>
      </c>
      <c r="I79" s="3"/>
      <c r="J79" s="3"/>
    </row>
    <row r="80" spans="1:10" ht="15.75" customHeight="1" x14ac:dyDescent="0.3">
      <c r="A80" s="8">
        <v>76</v>
      </c>
      <c r="B80" s="8" t="s">
        <v>52</v>
      </c>
      <c r="C80" s="8" t="s">
        <v>21</v>
      </c>
      <c r="D80" s="8" t="s">
        <v>23</v>
      </c>
      <c r="E80" s="8">
        <v>8</v>
      </c>
      <c r="F80" s="8" t="str">
        <f t="array" ref="F80">IFERROR(_xlfn.XLOOKUP(B80,#REF!,#REF!,""),"")</f>
        <v/>
      </c>
      <c r="G80" s="8" t="str">
        <f t="array" ref="G80">IFERROR(_xlfn.XLOOKUP(B80,#REF!,#REF!,""),"")</f>
        <v/>
      </c>
      <c r="H80" s="8" t="str">
        <f t="array" ref="H80">IFERROR(_xlfn.XLOOKUP(B80,#REF!,#REF!,""),"")</f>
        <v/>
      </c>
      <c r="I80" s="3"/>
      <c r="J80" s="3"/>
    </row>
    <row r="81" spans="1:10" ht="15.75" customHeight="1" x14ac:dyDescent="0.3">
      <c r="A81" s="7">
        <v>77</v>
      </c>
      <c r="B81" s="7" t="s">
        <v>40</v>
      </c>
      <c r="C81" s="7" t="s">
        <v>21</v>
      </c>
      <c r="D81" s="7" t="s">
        <v>23</v>
      </c>
      <c r="E81" s="7">
        <v>4</v>
      </c>
      <c r="F81" s="7" t="str">
        <f t="array" ref="F81">IFERROR(_xlfn.XLOOKUP(B81,#REF!,#REF!,""),"")</f>
        <v/>
      </c>
      <c r="G81" s="7" t="str">
        <f t="array" ref="G81">IFERROR(_xlfn.XLOOKUP(B81,#REF!,#REF!,""),"")</f>
        <v/>
      </c>
      <c r="H81" s="7" t="str">
        <f t="array" ref="H81">IFERROR(_xlfn.XLOOKUP(B81,#REF!,#REF!,""),"")</f>
        <v/>
      </c>
      <c r="I81" s="3"/>
      <c r="J81" s="3"/>
    </row>
    <row r="82" spans="1:10" ht="15.75" customHeight="1" x14ac:dyDescent="0.3">
      <c r="A82" s="8">
        <v>78</v>
      </c>
      <c r="B82" s="8" t="s">
        <v>547</v>
      </c>
      <c r="C82" s="8" t="s">
        <v>21</v>
      </c>
      <c r="D82" s="8" t="s">
        <v>23</v>
      </c>
      <c r="E82" s="8">
        <v>16</v>
      </c>
      <c r="F82" s="8" t="str">
        <f t="array" ref="F82">IFERROR(_xlfn.XLOOKUP(B82,#REF!,#REF!,""),"")</f>
        <v/>
      </c>
      <c r="G82" s="8" t="str">
        <f t="array" ref="G82">IFERROR(_xlfn.XLOOKUP(B82,#REF!,#REF!,""),"")</f>
        <v/>
      </c>
      <c r="H82" s="8" t="str">
        <f t="array" ref="H82">IFERROR(_xlfn.XLOOKUP(B82,#REF!,#REF!,""),"")</f>
        <v/>
      </c>
      <c r="I82" s="3"/>
      <c r="J82" s="3"/>
    </row>
    <row r="83" spans="1:10" ht="15.75" customHeight="1" x14ac:dyDescent="0.3">
      <c r="A83" s="7">
        <v>79</v>
      </c>
      <c r="B83" s="7" t="s">
        <v>1014</v>
      </c>
      <c r="C83" s="7" t="s">
        <v>21</v>
      </c>
      <c r="D83" s="7" t="s">
        <v>23</v>
      </c>
      <c r="E83" s="7">
        <v>4</v>
      </c>
      <c r="F83" s="7" t="str">
        <f t="array" ref="F83">IFERROR(_xlfn.XLOOKUP(B83,#REF!,#REF!,""),"")</f>
        <v/>
      </c>
      <c r="G83" s="7" t="str">
        <f t="array" ref="G83">IFERROR(_xlfn.XLOOKUP(B83,#REF!,#REF!,""),"")</f>
        <v/>
      </c>
      <c r="H83" s="7" t="str">
        <f t="array" ref="H83">IFERROR(_xlfn.XLOOKUP(B83,#REF!,#REF!,""),"")</f>
        <v/>
      </c>
      <c r="I83" s="3"/>
      <c r="J83" s="3"/>
    </row>
    <row r="84" spans="1:10" ht="15.75" customHeight="1" x14ac:dyDescent="0.3">
      <c r="A84" s="8">
        <v>80</v>
      </c>
      <c r="B84" s="8" t="s">
        <v>992</v>
      </c>
      <c r="C84" s="8" t="s">
        <v>17</v>
      </c>
      <c r="D84" s="8" t="s">
        <v>18</v>
      </c>
      <c r="E84" s="8">
        <v>19</v>
      </c>
      <c r="F84" s="8" t="str">
        <f t="array" ref="F84">IFERROR(_xlfn.XLOOKUP(B84,#REF!,#REF!,""),"")</f>
        <v/>
      </c>
      <c r="G84" s="8" t="str">
        <f t="array" ref="G84">IFERROR(_xlfn.XLOOKUP(B84,#REF!,#REF!,""),"")</f>
        <v/>
      </c>
      <c r="H84" s="8" t="str">
        <f t="array" ref="H84">IFERROR(_xlfn.XLOOKUP(B84,#REF!,#REF!,""),"")</f>
        <v/>
      </c>
      <c r="I84" s="3"/>
      <c r="J84" s="3"/>
    </row>
    <row r="85" spans="1:10" ht="15.75" customHeight="1" x14ac:dyDescent="0.3">
      <c r="A85" s="7">
        <v>81</v>
      </c>
      <c r="B85" s="7" t="s">
        <v>1185</v>
      </c>
      <c r="C85" s="7" t="s">
        <v>17</v>
      </c>
      <c r="D85" s="7" t="s">
        <v>18</v>
      </c>
      <c r="E85" s="7">
        <v>3</v>
      </c>
      <c r="F85" s="7" t="str">
        <f t="array" ref="F85">IFERROR(_xlfn.XLOOKUP(B85,#REF!,#REF!,""),"")</f>
        <v/>
      </c>
      <c r="G85" s="7" t="str">
        <f t="array" ref="G85">IFERROR(_xlfn.XLOOKUP(B85,#REF!,#REF!,""),"")</f>
        <v/>
      </c>
      <c r="H85" s="7" t="str">
        <f t="array" ref="H85">IFERROR(_xlfn.XLOOKUP(B85,#REF!,#REF!,""),"")</f>
        <v/>
      </c>
      <c r="I85" s="3"/>
      <c r="J85" s="3"/>
    </row>
    <row r="86" spans="1:10" ht="15.75" customHeight="1" x14ac:dyDescent="0.3">
      <c r="A86" s="8">
        <v>82</v>
      </c>
      <c r="B86" s="8" t="s">
        <v>435</v>
      </c>
      <c r="C86" s="8" t="s">
        <v>17</v>
      </c>
      <c r="D86" s="8" t="s">
        <v>18</v>
      </c>
      <c r="E86" s="8">
        <v>8</v>
      </c>
      <c r="F86" s="8" t="str">
        <f t="array" ref="F86">IFERROR(_xlfn.XLOOKUP(B86,#REF!,#REF!,""),"")</f>
        <v/>
      </c>
      <c r="G86" s="8" t="str">
        <f t="array" ref="G86">IFERROR(_xlfn.XLOOKUP(B86,#REF!,#REF!,""),"")</f>
        <v/>
      </c>
      <c r="H86" s="8" t="str">
        <f t="array" ref="H86">IFERROR(_xlfn.XLOOKUP(B86,#REF!,#REF!,""),"")</f>
        <v/>
      </c>
      <c r="I86" s="3"/>
      <c r="J86" s="3"/>
    </row>
    <row r="87" spans="1:10" ht="15.75" customHeight="1" x14ac:dyDescent="0.3">
      <c r="A87" s="7">
        <v>83</v>
      </c>
      <c r="B87" s="7" t="s">
        <v>706</v>
      </c>
      <c r="C87" s="7" t="s">
        <v>17</v>
      </c>
      <c r="D87" s="7" t="s">
        <v>18</v>
      </c>
      <c r="E87" s="7">
        <v>3</v>
      </c>
      <c r="F87" s="7" t="str">
        <f t="array" ref="F87">IFERROR(_xlfn.XLOOKUP(B87,#REF!,#REF!,""),"")</f>
        <v/>
      </c>
      <c r="G87" s="7" t="str">
        <f t="array" ref="G87">IFERROR(_xlfn.XLOOKUP(B87,#REF!,#REF!,""),"")</f>
        <v/>
      </c>
      <c r="H87" s="7" t="str">
        <f t="array" ref="H87">IFERROR(_xlfn.XLOOKUP(B87,#REF!,#REF!,""),"")</f>
        <v/>
      </c>
      <c r="I87" s="3"/>
      <c r="J87" s="3"/>
    </row>
    <row r="88" spans="1:10" ht="15.75" customHeight="1" x14ac:dyDescent="0.3"/>
    <row r="89" spans="1:10" ht="15.75" customHeight="1" x14ac:dyDescent="0.3"/>
    <row r="90" spans="1:10" ht="15.75" customHeight="1" x14ac:dyDescent="0.3"/>
    <row r="91" spans="1:10" ht="15.75" customHeight="1" x14ac:dyDescent="0.3"/>
    <row r="92" spans="1:10" ht="15.75" customHeight="1" x14ac:dyDescent="0.3"/>
    <row r="93" spans="1:10" ht="15.75" customHeight="1" x14ac:dyDescent="0.3"/>
    <row r="94" spans="1:10" ht="15.75" customHeight="1" x14ac:dyDescent="0.3"/>
    <row r="95" spans="1:10" ht="15.75" customHeight="1" x14ac:dyDescent="0.3"/>
    <row r="96" spans="1:10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87" xr:uid="{00000000-0009-0000-0000-00003A000000}">
    <sortState xmlns:xlrd2="http://schemas.microsoft.com/office/spreadsheetml/2017/richdata2" ref="A5:H87">
      <sortCondition ref="A4:A87"/>
    </sortState>
  </autoFilter>
  <mergeCells count="2">
    <mergeCell ref="A1:H1"/>
    <mergeCell ref="A2:H2"/>
  </mergeCells>
  <conditionalFormatting sqref="G5:G87">
    <cfRule type="expression" dxfId="41" priority="1">
      <formula>G5="OUT OF STOCK"</formula>
    </cfRule>
    <cfRule type="expression" dxfId="40" priority="2">
      <formula>G5="REORDER"</formula>
    </cfRule>
    <cfRule type="expression" dxfId="39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0" customHeight="1" x14ac:dyDescent="0.3">
      <c r="A1" s="24" t="s">
        <v>227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228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1177</v>
      </c>
      <c r="C5" s="8" t="s">
        <v>1178</v>
      </c>
      <c r="D5" s="8" t="s">
        <v>1179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1181</v>
      </c>
      <c r="C6" s="7" t="s">
        <v>1178</v>
      </c>
      <c r="D6" s="7" t="s">
        <v>1179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" xr:uid="{00000000-0009-0000-0000-00003B000000}">
    <sortState xmlns:xlrd2="http://schemas.microsoft.com/office/spreadsheetml/2017/richdata2" ref="A5:H6">
      <sortCondition ref="A4:A6"/>
    </sortState>
  </autoFilter>
  <mergeCells count="2">
    <mergeCell ref="A1:H1"/>
    <mergeCell ref="A2:H2"/>
  </mergeCells>
  <conditionalFormatting sqref="G5:G6">
    <cfRule type="expression" dxfId="38" priority="1">
      <formula>G5="OUT OF STOCK"</formula>
    </cfRule>
    <cfRule type="expression" dxfId="37" priority="2">
      <formula>G5="REORDER"</formula>
    </cfRule>
    <cfRule type="expression" dxfId="3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1.25" customHeight="1" x14ac:dyDescent="0.3">
      <c r="A1" s="24" t="s">
        <v>229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230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691</v>
      </c>
      <c r="C5" s="7" t="s">
        <v>22</v>
      </c>
      <c r="D5" s="7" t="s">
        <v>24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" xr:uid="{00000000-0009-0000-0000-00003C000000}">
    <sortState xmlns:xlrd2="http://schemas.microsoft.com/office/spreadsheetml/2017/richdata2" ref="A5:H5">
      <sortCondition ref="A4:A5"/>
    </sortState>
  </autoFilter>
  <mergeCells count="2">
    <mergeCell ref="A1:H1"/>
    <mergeCell ref="A2:H2"/>
  </mergeCells>
  <conditionalFormatting sqref="G5">
    <cfRule type="expression" dxfId="35" priority="1">
      <formula>G5="OUT OF STOCK"</formula>
    </cfRule>
    <cfRule type="expression" dxfId="34" priority="2">
      <formula>G5="REORDER"</formula>
    </cfRule>
    <cfRule type="expression" dxfId="33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32.4" customHeight="1" x14ac:dyDescent="0.3">
      <c r="A1" s="24" t="s">
        <v>231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232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50</v>
      </c>
      <c r="C5" s="7" t="s">
        <v>51</v>
      </c>
      <c r="D5" s="7" t="s">
        <v>53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786</v>
      </c>
      <c r="C6" s="8" t="s">
        <v>51</v>
      </c>
      <c r="D6" s="8" t="s">
        <v>53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1182</v>
      </c>
      <c r="C7" s="7" t="s">
        <v>81</v>
      </c>
      <c r="D7" s="7" t="s">
        <v>82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1050</v>
      </c>
      <c r="C8" s="8" t="s">
        <v>437</v>
      </c>
      <c r="D8" s="8" t="s">
        <v>438</v>
      </c>
      <c r="E8" s="8">
        <v>2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1203</v>
      </c>
      <c r="C9" s="7" t="s">
        <v>469</v>
      </c>
      <c r="D9" s="7" t="s">
        <v>470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201</v>
      </c>
      <c r="C10" s="8" t="s">
        <v>31</v>
      </c>
      <c r="D10" s="8" t="s">
        <v>32</v>
      </c>
      <c r="E10" s="8">
        <v>2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157</v>
      </c>
      <c r="C11" s="7" t="s">
        <v>31</v>
      </c>
      <c r="D11" s="7" t="s">
        <v>32</v>
      </c>
      <c r="E11" s="7">
        <v>2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1201</v>
      </c>
      <c r="C12" s="8" t="s">
        <v>21</v>
      </c>
      <c r="D12" s="8" t="s">
        <v>23</v>
      </c>
      <c r="E12" s="8">
        <v>4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833</v>
      </c>
      <c r="C13" s="7" t="s">
        <v>21</v>
      </c>
      <c r="D13" s="7" t="s">
        <v>23</v>
      </c>
      <c r="E13" s="7">
        <v>2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3" xr:uid="{00000000-0009-0000-0000-00003D000000}">
    <sortState xmlns:xlrd2="http://schemas.microsoft.com/office/spreadsheetml/2017/richdata2" ref="A5:H13">
      <sortCondition ref="A4:A13"/>
    </sortState>
  </autoFilter>
  <mergeCells count="2">
    <mergeCell ref="A1:H1"/>
    <mergeCell ref="A2:H2"/>
  </mergeCells>
  <conditionalFormatting sqref="G5:G13">
    <cfRule type="expression" dxfId="32" priority="1">
      <formula>G5="OUT OF STOCK"</formula>
    </cfRule>
    <cfRule type="expression" dxfId="31" priority="2">
      <formula>G5="REORDER"</formula>
    </cfRule>
    <cfRule type="expression" dxfId="30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75" customHeight="1" x14ac:dyDescent="0.3">
      <c r="A1" s="24" t="s">
        <v>235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236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1184</v>
      </c>
      <c r="C5" s="8" t="s">
        <v>272</v>
      </c>
      <c r="D5" s="8" t="s">
        <v>273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1050</v>
      </c>
      <c r="C6" s="7" t="s">
        <v>437</v>
      </c>
      <c r="D6" s="7" t="s">
        <v>438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1203</v>
      </c>
      <c r="C7" s="8" t="s">
        <v>469</v>
      </c>
      <c r="D7" s="8" t="s">
        <v>470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184</v>
      </c>
      <c r="C8" s="7" t="s">
        <v>31</v>
      </c>
      <c r="D8" s="7" t="s">
        <v>32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164</v>
      </c>
      <c r="C9" s="8" t="s">
        <v>31</v>
      </c>
      <c r="D9" s="8" t="s">
        <v>32</v>
      </c>
      <c r="E9" s="8">
        <v>4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61</v>
      </c>
      <c r="C10" s="7" t="s">
        <v>21</v>
      </c>
      <c r="D10" s="7" t="s">
        <v>23</v>
      </c>
      <c r="E10" s="7">
        <v>2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10" xr:uid="{00000000-0009-0000-0000-00003E000000}">
    <sortState xmlns:xlrd2="http://schemas.microsoft.com/office/spreadsheetml/2017/richdata2" ref="A5:H10">
      <sortCondition ref="A4:A10"/>
    </sortState>
  </autoFilter>
  <mergeCells count="2">
    <mergeCell ref="A1:H1"/>
    <mergeCell ref="A2:H2"/>
  </mergeCells>
  <conditionalFormatting sqref="G5:G10">
    <cfRule type="expression" dxfId="29" priority="1">
      <formula>G5="OUT OF STOCK"</formula>
    </cfRule>
    <cfRule type="expression" dxfId="28" priority="2">
      <formula>G5="REORDER"</formula>
    </cfRule>
    <cfRule type="expression" dxfId="27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4.08984375" style="9" bestFit="1" customWidth="1"/>
    <col min="2" max="2" width="12.36328125" style="9" bestFit="1" customWidth="1"/>
    <col min="3" max="3" width="33.7265625" style="9" bestFit="1" customWidth="1"/>
    <col min="4" max="4" width="32.6328125" style="9" bestFit="1" customWidth="1"/>
    <col min="5" max="5" width="13.36328125" style="9" bestFit="1" customWidth="1"/>
    <col min="6" max="6" width="17.26953125" style="9" bestFit="1" customWidth="1"/>
    <col min="7" max="7" width="9.08984375" style="9" bestFit="1" customWidth="1"/>
    <col min="8" max="8" width="15.7265625" style="9" bestFit="1" customWidth="1"/>
    <col min="9" max="26" width="8.6328125" style="9" customWidth="1"/>
    <col min="27" max="16384" width="14.453125" style="9"/>
  </cols>
  <sheetData>
    <row r="1" spans="1:10" ht="34.75" customHeight="1" x14ac:dyDescent="0.3">
      <c r="A1" s="24" t="s">
        <v>237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240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432</v>
      </c>
      <c r="C5" s="8" t="s">
        <v>433</v>
      </c>
      <c r="D5" s="8" t="s">
        <v>434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442</v>
      </c>
      <c r="C6" s="7" t="s">
        <v>17</v>
      </c>
      <c r="D6" s="7" t="s">
        <v>18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784</v>
      </c>
      <c r="C7" s="8" t="s">
        <v>81</v>
      </c>
      <c r="D7" s="8" t="s">
        <v>82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1279</v>
      </c>
      <c r="C8" s="7" t="s">
        <v>957</v>
      </c>
      <c r="D8" s="7" t="s">
        <v>958</v>
      </c>
      <c r="E8" s="7">
        <v>6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1278</v>
      </c>
      <c r="C9" s="8" t="s">
        <v>72</v>
      </c>
      <c r="D9" s="8" t="s">
        <v>73</v>
      </c>
      <c r="E9" s="8">
        <v>4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1277</v>
      </c>
      <c r="C10" s="7" t="s">
        <v>469</v>
      </c>
      <c r="D10" s="7" t="s">
        <v>470</v>
      </c>
      <c r="E10" s="7">
        <v>1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1274</v>
      </c>
      <c r="C11" s="8" t="s">
        <v>946</v>
      </c>
      <c r="D11" s="8" t="s">
        <v>947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1271</v>
      </c>
      <c r="C12" s="7" t="s">
        <v>102</v>
      </c>
      <c r="D12" s="7" t="s">
        <v>24</v>
      </c>
      <c r="E12" s="7">
        <v>4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1269</v>
      </c>
      <c r="C13" s="8" t="s">
        <v>297</v>
      </c>
      <c r="D13" s="8" t="s">
        <v>82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1262</v>
      </c>
      <c r="C14" s="7" t="s">
        <v>1263</v>
      </c>
      <c r="D14" s="7" t="s">
        <v>1264</v>
      </c>
      <c r="E14" s="7">
        <v>1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1259</v>
      </c>
      <c r="C15" s="8" t="s">
        <v>1107</v>
      </c>
      <c r="D15" s="8" t="s">
        <v>1108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1257</v>
      </c>
      <c r="C16" s="7" t="s">
        <v>953</v>
      </c>
      <c r="D16" s="7" t="s">
        <v>954</v>
      </c>
      <c r="E16" s="7">
        <v>1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1252</v>
      </c>
      <c r="C17" s="8" t="s">
        <v>1253</v>
      </c>
      <c r="D17" s="8" t="s">
        <v>1254</v>
      </c>
      <c r="E17" s="8">
        <v>1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1251</v>
      </c>
      <c r="C18" s="7" t="s">
        <v>1107</v>
      </c>
      <c r="D18" s="7" t="s">
        <v>1108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1248</v>
      </c>
      <c r="C19" s="8" t="s">
        <v>1386</v>
      </c>
      <c r="D19" s="8" t="s">
        <v>1385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1245</v>
      </c>
      <c r="C20" s="7" t="s">
        <v>1246</v>
      </c>
      <c r="D20" s="7" t="s">
        <v>1247</v>
      </c>
      <c r="E20" s="7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1244</v>
      </c>
      <c r="C21" s="8" t="s">
        <v>72</v>
      </c>
      <c r="D21" s="8" t="s">
        <v>73</v>
      </c>
      <c r="E21" s="8">
        <v>1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1240</v>
      </c>
      <c r="C22" s="7" t="s">
        <v>384</v>
      </c>
      <c r="D22" s="7" t="s">
        <v>385</v>
      </c>
      <c r="E22" s="7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1239</v>
      </c>
      <c r="C23" s="8" t="s">
        <v>946</v>
      </c>
      <c r="D23" s="8" t="s">
        <v>385</v>
      </c>
      <c r="E23" s="8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1234</v>
      </c>
      <c r="C24" s="7" t="s">
        <v>469</v>
      </c>
      <c r="D24" s="7" t="s">
        <v>470</v>
      </c>
      <c r="E24" s="7">
        <v>3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943</v>
      </c>
      <c r="C25" s="8" t="s">
        <v>469</v>
      </c>
      <c r="D25" s="8" t="s">
        <v>470</v>
      </c>
      <c r="E25" s="8">
        <v>3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184</v>
      </c>
      <c r="C26" s="7" t="s">
        <v>31</v>
      </c>
      <c r="D26" s="7" t="s">
        <v>32</v>
      </c>
      <c r="E26" s="7">
        <v>2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29</v>
      </c>
      <c r="C27" s="8" t="s">
        <v>31</v>
      </c>
      <c r="D27" s="8" t="s">
        <v>32</v>
      </c>
      <c r="E27" s="8">
        <v>2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554</v>
      </c>
      <c r="C28" s="7" t="s">
        <v>555</v>
      </c>
      <c r="D28" s="7" t="s">
        <v>556</v>
      </c>
      <c r="E28" s="7">
        <v>1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1195</v>
      </c>
      <c r="C29" s="8" t="s">
        <v>153</v>
      </c>
      <c r="D29" s="8" t="s">
        <v>154</v>
      </c>
      <c r="E29" s="8">
        <v>1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1224</v>
      </c>
      <c r="C30" s="7" t="s">
        <v>328</v>
      </c>
      <c r="D30" s="7" t="s">
        <v>329</v>
      </c>
      <c r="E30" s="7">
        <v>10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1222</v>
      </c>
      <c r="C31" s="8" t="s">
        <v>328</v>
      </c>
      <c r="D31" s="8" t="s">
        <v>329</v>
      </c>
      <c r="E31" s="8">
        <v>8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1220</v>
      </c>
      <c r="C32" s="7" t="s">
        <v>153</v>
      </c>
      <c r="D32" s="7" t="s">
        <v>154</v>
      </c>
      <c r="E32" s="7">
        <v>3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132</v>
      </c>
      <c r="C33" s="8" t="s">
        <v>72</v>
      </c>
      <c r="D33" s="8" t="s">
        <v>73</v>
      </c>
      <c r="E33" s="8">
        <v>2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1219</v>
      </c>
      <c r="C34" s="7" t="s">
        <v>72</v>
      </c>
      <c r="D34" s="7" t="s">
        <v>73</v>
      </c>
      <c r="E34" s="7">
        <v>2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525</v>
      </c>
      <c r="C35" s="8" t="s">
        <v>328</v>
      </c>
      <c r="D35" s="8" t="s">
        <v>329</v>
      </c>
      <c r="E35" s="8">
        <v>2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1216</v>
      </c>
      <c r="C36" s="7" t="s">
        <v>924</v>
      </c>
      <c r="D36" s="7" t="s">
        <v>925</v>
      </c>
      <c r="E36" s="7">
        <v>1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1215</v>
      </c>
      <c r="C37" s="8" t="s">
        <v>328</v>
      </c>
      <c r="D37" s="8" t="s">
        <v>329</v>
      </c>
      <c r="E37" s="8">
        <v>9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1214</v>
      </c>
      <c r="C38" s="7" t="s">
        <v>328</v>
      </c>
      <c r="D38" s="7" t="s">
        <v>329</v>
      </c>
      <c r="E38" s="7">
        <v>3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>
      <c r="A39" s="8">
        <v>35</v>
      </c>
      <c r="B39" s="8" t="s">
        <v>1212</v>
      </c>
      <c r="C39" s="8" t="s">
        <v>328</v>
      </c>
      <c r="D39" s="8" t="s">
        <v>329</v>
      </c>
      <c r="E39" s="8">
        <v>1</v>
      </c>
      <c r="F39" s="8" t="str">
        <f t="array" ref="F39">IFERROR(_xlfn.XLOOKUP(B39,#REF!,#REF!,""),"")</f>
        <v/>
      </c>
      <c r="G39" s="8" t="str">
        <f t="array" ref="G39">IFERROR(_xlfn.XLOOKUP(B39,#REF!,#REF!,""),"")</f>
        <v/>
      </c>
      <c r="H39" s="8" t="str">
        <f t="array" ref="H39">IFERROR(_xlfn.XLOOKUP(B39,#REF!,#REF!,""),"")</f>
        <v/>
      </c>
      <c r="I39" s="3"/>
      <c r="J39" s="3"/>
    </row>
    <row r="40" spans="1:10" ht="15.75" customHeight="1" x14ac:dyDescent="0.3">
      <c r="A40" s="7">
        <v>36</v>
      </c>
      <c r="B40" s="7" t="s">
        <v>1211</v>
      </c>
      <c r="C40" s="7" t="s">
        <v>332</v>
      </c>
      <c r="D40" s="7" t="s">
        <v>333</v>
      </c>
      <c r="E40" s="7">
        <v>2</v>
      </c>
      <c r="F40" s="7" t="str">
        <f t="array" ref="F40">IFERROR(_xlfn.XLOOKUP(B40,#REF!,#REF!,""),"")</f>
        <v/>
      </c>
      <c r="G40" s="7" t="str">
        <f t="array" ref="G40">IFERROR(_xlfn.XLOOKUP(B40,#REF!,#REF!,""),"")</f>
        <v/>
      </c>
      <c r="H40" s="7" t="str">
        <f t="array" ref="H40">IFERROR(_xlfn.XLOOKUP(B40,#REF!,#REF!,""),"")</f>
        <v/>
      </c>
      <c r="I40" s="3"/>
      <c r="J40" s="3"/>
    </row>
    <row r="41" spans="1:10" ht="15.75" customHeight="1" x14ac:dyDescent="0.3">
      <c r="A41" s="8">
        <v>37</v>
      </c>
      <c r="B41" s="8" t="s">
        <v>1209</v>
      </c>
      <c r="C41" s="8" t="s">
        <v>217</v>
      </c>
      <c r="D41" s="8" t="s">
        <v>218</v>
      </c>
      <c r="E41" s="8">
        <v>4</v>
      </c>
      <c r="F41" s="8" t="str">
        <f t="array" ref="F41">IFERROR(_xlfn.XLOOKUP(B41,#REF!,#REF!,""),"")</f>
        <v/>
      </c>
      <c r="G41" s="8" t="str">
        <f t="array" ref="G41">IFERROR(_xlfn.XLOOKUP(B41,#REF!,#REF!,""),"")</f>
        <v/>
      </c>
      <c r="H41" s="8" t="str">
        <f t="array" ref="H41">IFERROR(_xlfn.XLOOKUP(B41,#REF!,#REF!,""),"")</f>
        <v/>
      </c>
      <c r="I41" s="3"/>
      <c r="J41" s="3"/>
    </row>
    <row r="42" spans="1:10" ht="15.75" customHeight="1" x14ac:dyDescent="0.3">
      <c r="A42" s="7">
        <v>38</v>
      </c>
      <c r="B42" s="7" t="s">
        <v>1208</v>
      </c>
      <c r="C42" s="7" t="s">
        <v>433</v>
      </c>
      <c r="D42" s="7" t="s">
        <v>434</v>
      </c>
      <c r="E42" s="7">
        <v>1</v>
      </c>
      <c r="F42" s="7" t="str">
        <f t="array" ref="F42">IFERROR(_xlfn.XLOOKUP(B42,#REF!,#REF!,""),"")</f>
        <v/>
      </c>
      <c r="G42" s="7" t="str">
        <f t="array" ref="G42">IFERROR(_xlfn.XLOOKUP(B42,#REF!,#REF!,""),"")</f>
        <v/>
      </c>
      <c r="H42" s="7" t="str">
        <f t="array" ref="H42">IFERROR(_xlfn.XLOOKUP(B42,#REF!,#REF!,""),"")</f>
        <v/>
      </c>
      <c r="I42" s="3"/>
      <c r="J42" s="3"/>
    </row>
    <row r="43" spans="1:10" ht="15.75" customHeight="1" x14ac:dyDescent="0.3">
      <c r="A43" s="8">
        <v>39</v>
      </c>
      <c r="B43" s="8" t="s">
        <v>1176</v>
      </c>
      <c r="C43" s="8" t="s">
        <v>21</v>
      </c>
      <c r="D43" s="8" t="s">
        <v>23</v>
      </c>
      <c r="E43" s="8">
        <v>4</v>
      </c>
      <c r="F43" s="8" t="str">
        <f t="array" ref="F43">IFERROR(_xlfn.XLOOKUP(B43,#REF!,#REF!,""),"")</f>
        <v/>
      </c>
      <c r="G43" s="8" t="str">
        <f t="array" ref="G43">IFERROR(_xlfn.XLOOKUP(B43,#REF!,#REF!,""),"")</f>
        <v/>
      </c>
      <c r="H43" s="8" t="str">
        <f t="array" ref="H43">IFERROR(_xlfn.XLOOKUP(B43,#REF!,#REF!,""),"")</f>
        <v/>
      </c>
      <c r="I43" s="3"/>
      <c r="J43" s="3"/>
    </row>
    <row r="44" spans="1:10" ht="15.75" customHeight="1" x14ac:dyDescent="0.3">
      <c r="A44" s="7">
        <v>40</v>
      </c>
      <c r="B44" s="7" t="s">
        <v>95</v>
      </c>
      <c r="C44" s="7" t="s">
        <v>21</v>
      </c>
      <c r="D44" s="7" t="s">
        <v>23</v>
      </c>
      <c r="E44" s="7">
        <v>2</v>
      </c>
      <c r="F44" s="7" t="str">
        <f t="array" ref="F44">IFERROR(_xlfn.XLOOKUP(B44,#REF!,#REF!,""),"")</f>
        <v/>
      </c>
      <c r="G44" s="7" t="str">
        <f t="array" ref="G44">IFERROR(_xlfn.XLOOKUP(B44,#REF!,#REF!,""),"")</f>
        <v/>
      </c>
      <c r="H44" s="7" t="str">
        <f t="array" ref="H44">IFERROR(_xlfn.XLOOKUP(B44,#REF!,#REF!,""),"")</f>
        <v/>
      </c>
      <c r="I44" s="3"/>
      <c r="J44" s="3"/>
    </row>
    <row r="45" spans="1:10" ht="15.75" customHeight="1" x14ac:dyDescent="0.3">
      <c r="A45" s="8">
        <v>41</v>
      </c>
      <c r="B45" s="8" t="s">
        <v>61</v>
      </c>
      <c r="C45" s="8" t="s">
        <v>21</v>
      </c>
      <c r="D45" s="8" t="s">
        <v>23</v>
      </c>
      <c r="E45" s="8">
        <v>2</v>
      </c>
      <c r="F45" s="8" t="str">
        <f t="array" ref="F45">IFERROR(_xlfn.XLOOKUP(B45,#REF!,#REF!,""),"")</f>
        <v/>
      </c>
      <c r="G45" s="8" t="str">
        <f t="array" ref="G45">IFERROR(_xlfn.XLOOKUP(B45,#REF!,#REF!,""),"")</f>
        <v/>
      </c>
      <c r="H45" s="8" t="str">
        <f t="array" ref="H45">IFERROR(_xlfn.XLOOKUP(B45,#REF!,#REF!,""),"")</f>
        <v/>
      </c>
      <c r="I45" s="3"/>
      <c r="J45" s="3"/>
    </row>
    <row r="46" spans="1:10" ht="15.75" customHeight="1" x14ac:dyDescent="0.3">
      <c r="A46" s="7">
        <v>42</v>
      </c>
      <c r="B46" s="7" t="s">
        <v>545</v>
      </c>
      <c r="C46" s="7" t="s">
        <v>17</v>
      </c>
      <c r="D46" s="7" t="s">
        <v>18</v>
      </c>
      <c r="E46" s="7">
        <v>18</v>
      </c>
      <c r="F46" s="7" t="str">
        <f t="array" ref="F46">IFERROR(_xlfn.XLOOKUP(B46,#REF!,#REF!,""),"")</f>
        <v/>
      </c>
      <c r="G46" s="7" t="str">
        <f t="array" ref="G46">IFERROR(_xlfn.XLOOKUP(B46,#REF!,#REF!,""),"")</f>
        <v/>
      </c>
      <c r="H46" s="7" t="str">
        <f t="array" ref="H46">IFERROR(_xlfn.XLOOKUP(B46,#REF!,#REF!,""),"")</f>
        <v/>
      </c>
      <c r="I46" s="3"/>
      <c r="J46" s="3"/>
    </row>
    <row r="47" spans="1:10" ht="15.75" customHeight="1" x14ac:dyDescent="0.3">
      <c r="A47" s="8">
        <v>43</v>
      </c>
      <c r="B47" s="8" t="s">
        <v>1207</v>
      </c>
      <c r="C47" s="8" t="s">
        <v>17</v>
      </c>
      <c r="D47" s="8" t="s">
        <v>18</v>
      </c>
      <c r="E47" s="8">
        <v>12</v>
      </c>
      <c r="F47" s="8" t="str">
        <f t="array" ref="F47">IFERROR(_xlfn.XLOOKUP(B47,#REF!,#REF!,""),"")</f>
        <v/>
      </c>
      <c r="G47" s="8" t="str">
        <f t="array" ref="G47">IFERROR(_xlfn.XLOOKUP(B47,#REF!,#REF!,""),"")</f>
        <v/>
      </c>
      <c r="H47" s="8" t="str">
        <f t="array" ref="H47">IFERROR(_xlfn.XLOOKUP(B47,#REF!,#REF!,""),"")</f>
        <v/>
      </c>
      <c r="I47" s="3"/>
      <c r="J47" s="3"/>
    </row>
    <row r="48" spans="1:10" ht="15.75" customHeight="1" x14ac:dyDescent="0.3">
      <c r="A48" s="7">
        <v>44</v>
      </c>
      <c r="B48" s="7" t="s">
        <v>1206</v>
      </c>
      <c r="C48" s="7" t="s">
        <v>17</v>
      </c>
      <c r="D48" s="7" t="s">
        <v>18</v>
      </c>
      <c r="E48" s="7">
        <v>1</v>
      </c>
      <c r="F48" s="7" t="str">
        <f t="array" ref="F48">IFERROR(_xlfn.XLOOKUP(B48,#REF!,#REF!,""),"")</f>
        <v/>
      </c>
      <c r="G48" s="7" t="str">
        <f t="array" ref="G48">IFERROR(_xlfn.XLOOKUP(B48,#REF!,#REF!,""),"")</f>
        <v/>
      </c>
      <c r="H48" s="7" t="str">
        <f t="array" ref="H48">IFERROR(_xlfn.XLOOKUP(B48,#REF!,#REF!,""),"")</f>
        <v/>
      </c>
      <c r="I48" s="3"/>
      <c r="J48" s="3"/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8" xr:uid="{00000000-0009-0000-0000-00003F000000}">
    <sortState xmlns:xlrd2="http://schemas.microsoft.com/office/spreadsheetml/2017/richdata2" ref="A5:H48">
      <sortCondition ref="A4:A48"/>
    </sortState>
  </autoFilter>
  <mergeCells count="2">
    <mergeCell ref="A1:H1"/>
    <mergeCell ref="A2:H2"/>
  </mergeCells>
  <conditionalFormatting sqref="G5:G48">
    <cfRule type="expression" dxfId="26" priority="1">
      <formula>G5="OUT OF STOCK"</formula>
    </cfRule>
    <cfRule type="expression" dxfId="25" priority="2">
      <formula>G5="REORDER"</formula>
    </cfRule>
    <cfRule type="expression" dxfId="24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" customHeight="1" x14ac:dyDescent="0.3">
      <c r="A1" s="24" t="s">
        <v>243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244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271</v>
      </c>
      <c r="C5" s="7" t="s">
        <v>272</v>
      </c>
      <c r="D5" s="7" t="s">
        <v>273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280</v>
      </c>
      <c r="C6" s="8" t="s">
        <v>272</v>
      </c>
      <c r="D6" s="8" t="s">
        <v>273</v>
      </c>
      <c r="E6" s="8">
        <v>2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284</v>
      </c>
      <c r="C7" s="7" t="s">
        <v>81</v>
      </c>
      <c r="D7" s="7" t="s">
        <v>82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426</v>
      </c>
      <c r="C8" s="8" t="s">
        <v>272</v>
      </c>
      <c r="D8" s="8" t="s">
        <v>273</v>
      </c>
      <c r="E8" s="8">
        <v>4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430</v>
      </c>
      <c r="C9" s="7" t="s">
        <v>272</v>
      </c>
      <c r="D9" s="7" t="s">
        <v>273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793</v>
      </c>
      <c r="C10" s="8" t="s">
        <v>644</v>
      </c>
      <c r="D10" s="8" t="s">
        <v>645</v>
      </c>
      <c r="E10" s="8">
        <v>1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1205</v>
      </c>
      <c r="C11" s="7" t="s">
        <v>644</v>
      </c>
      <c r="D11" s="7" t="s">
        <v>645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1229</v>
      </c>
      <c r="C12" s="8" t="s">
        <v>290</v>
      </c>
      <c r="D12" s="8" t="s">
        <v>291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1160</v>
      </c>
      <c r="C13" s="7" t="s">
        <v>614</v>
      </c>
      <c r="D13" s="7" t="s">
        <v>538</v>
      </c>
      <c r="E13" s="7">
        <v>2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1158</v>
      </c>
      <c r="C14" s="8" t="s">
        <v>614</v>
      </c>
      <c r="D14" s="8" t="s">
        <v>538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1155</v>
      </c>
      <c r="C15" s="7" t="s">
        <v>474</v>
      </c>
      <c r="D15" s="7" t="s">
        <v>475</v>
      </c>
      <c r="E15" s="7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1154</v>
      </c>
      <c r="C16" s="8" t="s">
        <v>474</v>
      </c>
      <c r="D16" s="8" t="s">
        <v>475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1228</v>
      </c>
      <c r="C17" s="7" t="s">
        <v>1226</v>
      </c>
      <c r="D17" s="7" t="s">
        <v>1226</v>
      </c>
      <c r="E17" s="7">
        <v>1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1227</v>
      </c>
      <c r="C18" s="8" t="s">
        <v>1226</v>
      </c>
      <c r="D18" s="8" t="s">
        <v>1226</v>
      </c>
      <c r="E18" s="8">
        <v>3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1225</v>
      </c>
      <c r="C19" s="7" t="s">
        <v>1226</v>
      </c>
      <c r="D19" s="7" t="s">
        <v>1226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246</v>
      </c>
      <c r="C20" s="8" t="s">
        <v>644</v>
      </c>
      <c r="D20" s="8" t="s">
        <v>645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1223</v>
      </c>
      <c r="C21" s="7" t="s">
        <v>72</v>
      </c>
      <c r="D21" s="7" t="s">
        <v>73</v>
      </c>
      <c r="E21" s="7">
        <v>1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943</v>
      </c>
      <c r="C22" s="8" t="s">
        <v>469</v>
      </c>
      <c r="D22" s="8" t="s">
        <v>470</v>
      </c>
      <c r="E22" s="8">
        <v>7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1221</v>
      </c>
      <c r="C23" s="7" t="s">
        <v>469</v>
      </c>
      <c r="D23" s="7" t="s">
        <v>470</v>
      </c>
      <c r="E23" s="7">
        <v>7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184</v>
      </c>
      <c r="C24" s="8" t="s">
        <v>31</v>
      </c>
      <c r="D24" s="8" t="s">
        <v>32</v>
      </c>
      <c r="E24" s="8">
        <v>4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173</v>
      </c>
      <c r="C25" s="7" t="s">
        <v>31</v>
      </c>
      <c r="D25" s="7" t="s">
        <v>32</v>
      </c>
      <c r="E25" s="7">
        <v>6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29</v>
      </c>
      <c r="C26" s="8" t="s">
        <v>31</v>
      </c>
      <c r="D26" s="8" t="s">
        <v>32</v>
      </c>
      <c r="E26" s="8">
        <v>4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1218</v>
      </c>
      <c r="C27" s="7" t="s">
        <v>798</v>
      </c>
      <c r="D27" s="7" t="s">
        <v>799</v>
      </c>
      <c r="E27" s="7">
        <v>1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1217</v>
      </c>
      <c r="C28" s="8" t="s">
        <v>21</v>
      </c>
      <c r="D28" s="8" t="s">
        <v>23</v>
      </c>
      <c r="E28" s="8">
        <v>4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721</v>
      </c>
      <c r="C29" s="7" t="s">
        <v>21</v>
      </c>
      <c r="D29" s="7" t="s">
        <v>23</v>
      </c>
      <c r="E29" s="7">
        <v>2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301</v>
      </c>
      <c r="C30" s="8" t="s">
        <v>21</v>
      </c>
      <c r="D30" s="8" t="s">
        <v>23</v>
      </c>
      <c r="E30" s="8">
        <v>2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812</v>
      </c>
      <c r="C31" s="7" t="s">
        <v>1213</v>
      </c>
      <c r="D31" s="7" t="s">
        <v>23</v>
      </c>
      <c r="E31" s="7">
        <v>2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31" xr:uid="{00000000-0009-0000-0000-000040000000}">
    <sortState xmlns:xlrd2="http://schemas.microsoft.com/office/spreadsheetml/2017/richdata2" ref="A5:H31">
      <sortCondition ref="A4:A31"/>
    </sortState>
  </autoFilter>
  <mergeCells count="2">
    <mergeCell ref="A1:H1"/>
    <mergeCell ref="A2:H2"/>
  </mergeCells>
  <conditionalFormatting sqref="G5:G31">
    <cfRule type="expression" dxfId="23" priority="1">
      <formula>G5="OUT OF STOCK"</formula>
    </cfRule>
    <cfRule type="expression" dxfId="22" priority="2">
      <formula>G5="REORDER"</formula>
    </cfRule>
    <cfRule type="expression" dxfId="21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.65" customHeight="1" x14ac:dyDescent="0.3">
      <c r="A1" s="24" t="s">
        <v>246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247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797</v>
      </c>
      <c r="C5" s="7" t="s">
        <v>798</v>
      </c>
      <c r="D5" s="7" t="s">
        <v>799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802</v>
      </c>
      <c r="C6" s="8" t="s">
        <v>644</v>
      </c>
      <c r="D6" s="8" t="s">
        <v>645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755</v>
      </c>
      <c r="C7" s="7" t="s">
        <v>399</v>
      </c>
      <c r="D7" s="7" t="s">
        <v>400</v>
      </c>
      <c r="E7" s="7">
        <v>4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1230</v>
      </c>
      <c r="C8" s="8" t="s">
        <v>278</v>
      </c>
      <c r="D8" s="8" t="s">
        <v>279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1156</v>
      </c>
      <c r="C9" s="7" t="s">
        <v>614</v>
      </c>
      <c r="D9" s="7" t="s">
        <v>538</v>
      </c>
      <c r="E9" s="7">
        <v>1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1276</v>
      </c>
      <c r="C10" s="8" t="s">
        <v>614</v>
      </c>
      <c r="D10" s="8" t="s">
        <v>538</v>
      </c>
      <c r="E10" s="8">
        <v>9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1275</v>
      </c>
      <c r="C11" s="7" t="s">
        <v>474</v>
      </c>
      <c r="D11" s="7" t="s">
        <v>475</v>
      </c>
      <c r="E11" s="7">
        <v>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1273</v>
      </c>
      <c r="C12" s="8" t="s">
        <v>474</v>
      </c>
      <c r="D12" s="8" t="s">
        <v>475</v>
      </c>
      <c r="E12" s="8">
        <v>1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1272</v>
      </c>
      <c r="C13" s="7" t="s">
        <v>474</v>
      </c>
      <c r="D13" s="7" t="s">
        <v>475</v>
      </c>
      <c r="E13" s="7">
        <v>8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1270</v>
      </c>
      <c r="C14" s="8" t="s">
        <v>1267</v>
      </c>
      <c r="D14" s="8" t="s">
        <v>1268</v>
      </c>
      <c r="E14" s="8">
        <v>1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1266</v>
      </c>
      <c r="C15" s="7" t="s">
        <v>1267</v>
      </c>
      <c r="D15" s="7" t="s">
        <v>1268</v>
      </c>
      <c r="E15" s="7">
        <v>7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1265</v>
      </c>
      <c r="C16" s="8" t="s">
        <v>91</v>
      </c>
      <c r="D16" s="8" t="s">
        <v>92</v>
      </c>
      <c r="E16" s="8">
        <v>22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1261</v>
      </c>
      <c r="C17" s="7" t="s">
        <v>91</v>
      </c>
      <c r="D17" s="7" t="s">
        <v>92</v>
      </c>
      <c r="E17" s="7">
        <v>3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1260</v>
      </c>
      <c r="C18" s="8" t="s">
        <v>91</v>
      </c>
      <c r="D18" s="8" t="s">
        <v>92</v>
      </c>
      <c r="E18" s="8">
        <v>10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1258</v>
      </c>
      <c r="C19" s="7" t="s">
        <v>91</v>
      </c>
      <c r="D19" s="7" t="s">
        <v>92</v>
      </c>
      <c r="E19" s="7">
        <v>1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1256</v>
      </c>
      <c r="C20" s="8" t="s">
        <v>102</v>
      </c>
      <c r="D20" s="8" t="s">
        <v>24</v>
      </c>
      <c r="E20" s="8">
        <v>1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1255</v>
      </c>
      <c r="C21" s="7" t="s">
        <v>102</v>
      </c>
      <c r="D21" s="7" t="s">
        <v>24</v>
      </c>
      <c r="E21" s="7">
        <v>1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173</v>
      </c>
      <c r="C22" s="8" t="s">
        <v>31</v>
      </c>
      <c r="D22" s="8" t="s">
        <v>32</v>
      </c>
      <c r="E22" s="8">
        <v>10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1249</v>
      </c>
      <c r="C23" s="7" t="s">
        <v>1250</v>
      </c>
      <c r="D23" s="7" t="s">
        <v>23</v>
      </c>
      <c r="E23" s="7">
        <v>4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3" xr:uid="{00000000-0009-0000-0000-000041000000}">
    <sortState xmlns:xlrd2="http://schemas.microsoft.com/office/spreadsheetml/2017/richdata2" ref="A5:H23">
      <sortCondition ref="A4:A23"/>
    </sortState>
  </autoFilter>
  <mergeCells count="2">
    <mergeCell ref="A1:H1"/>
    <mergeCell ref="A2:H2"/>
  </mergeCells>
  <conditionalFormatting sqref="G5:G23">
    <cfRule type="expression" dxfId="20" priority="1">
      <formula>G5="OUT OF STOCK"</formula>
    </cfRule>
    <cfRule type="expression" dxfId="19" priority="2">
      <formula>G5="REORDER"</formula>
    </cfRule>
    <cfRule type="expression" dxfId="18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248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250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1210</v>
      </c>
      <c r="C5" s="8" t="s">
        <v>950</v>
      </c>
      <c r="D5" s="8" t="s">
        <v>951</v>
      </c>
      <c r="E5" s="8">
        <v>2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1238</v>
      </c>
      <c r="C6" s="7" t="s">
        <v>917</v>
      </c>
      <c r="D6" s="7" t="s">
        <v>918</v>
      </c>
      <c r="E6" s="7">
        <v>2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1289</v>
      </c>
      <c r="C7" s="8" t="s">
        <v>72</v>
      </c>
      <c r="D7" s="8" t="s">
        <v>73</v>
      </c>
      <c r="E7" s="8">
        <v>2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1288</v>
      </c>
      <c r="C8" s="7" t="s">
        <v>474</v>
      </c>
      <c r="D8" s="7" t="s">
        <v>475</v>
      </c>
      <c r="E8" s="7">
        <v>2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1287</v>
      </c>
      <c r="C9" s="8" t="s">
        <v>1246</v>
      </c>
      <c r="D9" s="8" t="s">
        <v>1247</v>
      </c>
      <c r="E9" s="8">
        <v>2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1234</v>
      </c>
      <c r="C10" s="7" t="s">
        <v>469</v>
      </c>
      <c r="D10" s="7" t="s">
        <v>470</v>
      </c>
      <c r="E10" s="7">
        <v>9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940</v>
      </c>
      <c r="C11" s="8" t="s">
        <v>469</v>
      </c>
      <c r="D11" s="8" t="s">
        <v>470</v>
      </c>
      <c r="E11" s="8">
        <v>13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1139</v>
      </c>
      <c r="C12" s="7" t="s">
        <v>1140</v>
      </c>
      <c r="D12" s="7" t="s">
        <v>92</v>
      </c>
      <c r="E12" s="7">
        <v>2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184</v>
      </c>
      <c r="C13" s="8" t="s">
        <v>31</v>
      </c>
      <c r="D13" s="8" t="s">
        <v>32</v>
      </c>
      <c r="E13" s="8">
        <v>6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164</v>
      </c>
      <c r="C14" s="7" t="s">
        <v>31</v>
      </c>
      <c r="D14" s="7" t="s">
        <v>32</v>
      </c>
      <c r="E14" s="7">
        <v>12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931</v>
      </c>
      <c r="C15" s="8" t="s">
        <v>555</v>
      </c>
      <c r="D15" s="8" t="s">
        <v>556</v>
      </c>
      <c r="E15" s="8">
        <v>2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1285</v>
      </c>
      <c r="C16" s="7" t="s">
        <v>924</v>
      </c>
      <c r="D16" s="7" t="s">
        <v>925</v>
      </c>
      <c r="E16" s="7">
        <v>4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1284</v>
      </c>
      <c r="C17" s="8" t="s">
        <v>328</v>
      </c>
      <c r="D17" s="8" t="s">
        <v>329</v>
      </c>
      <c r="E17" s="8">
        <v>2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1283</v>
      </c>
      <c r="C18" s="7" t="s">
        <v>332</v>
      </c>
      <c r="D18" s="7" t="s">
        <v>333</v>
      </c>
      <c r="E18" s="7">
        <v>6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1281</v>
      </c>
      <c r="C19" s="8" t="s">
        <v>1282</v>
      </c>
      <c r="D19" s="8" t="s">
        <v>843</v>
      </c>
      <c r="E19" s="8">
        <v>2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1280</v>
      </c>
      <c r="C20" s="7" t="s">
        <v>332</v>
      </c>
      <c r="D20" s="7" t="s">
        <v>333</v>
      </c>
      <c r="E20" s="7">
        <v>2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68</v>
      </c>
      <c r="C21" s="8" t="s">
        <v>21</v>
      </c>
      <c r="D21" s="8" t="s">
        <v>23</v>
      </c>
      <c r="E21" s="8">
        <v>6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1115</v>
      </c>
      <c r="C22" s="7" t="s">
        <v>17</v>
      </c>
      <c r="D22" s="7" t="s">
        <v>18</v>
      </c>
      <c r="E22" s="7">
        <v>2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2" xr:uid="{00000000-0009-0000-0000-000042000000}">
    <sortState xmlns:xlrd2="http://schemas.microsoft.com/office/spreadsheetml/2017/richdata2" ref="A5:H22">
      <sortCondition ref="A4:A22"/>
    </sortState>
  </autoFilter>
  <mergeCells count="2">
    <mergeCell ref="A1:H1"/>
    <mergeCell ref="A2:H2"/>
  </mergeCells>
  <conditionalFormatting sqref="G5:G22">
    <cfRule type="expression" dxfId="17" priority="1">
      <formula>G5="OUT OF STOCK"</formula>
    </cfRule>
    <cfRule type="expression" dxfId="16" priority="2">
      <formula>G5="REORDER"</formula>
    </cfRule>
    <cfRule type="expression" dxfId="15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8.75" customHeight="1" x14ac:dyDescent="0.3">
      <c r="A1" s="24" t="s">
        <v>251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253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419</v>
      </c>
      <c r="C5" s="7" t="s">
        <v>420</v>
      </c>
      <c r="D5" s="7" t="s">
        <v>420</v>
      </c>
      <c r="E5" s="7">
        <v>1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781</v>
      </c>
      <c r="C6" s="8" t="s">
        <v>272</v>
      </c>
      <c r="D6" s="8" t="s">
        <v>273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14" x14ac:dyDescent="0.3">
      <c r="A7" s="7">
        <v>3</v>
      </c>
      <c r="B7" s="7" t="s">
        <v>804</v>
      </c>
      <c r="C7" s="7" t="s">
        <v>433</v>
      </c>
      <c r="D7" s="7" t="s">
        <v>434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809</v>
      </c>
      <c r="C8" s="8" t="s">
        <v>433</v>
      </c>
      <c r="D8" s="8" t="s">
        <v>434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810</v>
      </c>
      <c r="C9" s="7" t="s">
        <v>17</v>
      </c>
      <c r="D9" s="7" t="s">
        <v>18</v>
      </c>
      <c r="E9" s="7">
        <v>2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184</v>
      </c>
      <c r="C10" s="8" t="s">
        <v>31</v>
      </c>
      <c r="D10" s="8" t="s">
        <v>32</v>
      </c>
      <c r="E10" s="8">
        <v>4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201</v>
      </c>
      <c r="C11" s="7" t="s">
        <v>31</v>
      </c>
      <c r="D11" s="7" t="s">
        <v>32</v>
      </c>
      <c r="E11" s="7">
        <v>2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186</v>
      </c>
      <c r="C12" s="8" t="s">
        <v>31</v>
      </c>
      <c r="D12" s="8" t="s">
        <v>32</v>
      </c>
      <c r="E12" s="8">
        <v>9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29</v>
      </c>
      <c r="C13" s="7" t="s">
        <v>31</v>
      </c>
      <c r="D13" s="7" t="s">
        <v>32</v>
      </c>
      <c r="E13" s="7">
        <v>4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157</v>
      </c>
      <c r="C14" s="8" t="s">
        <v>31</v>
      </c>
      <c r="D14" s="8" t="s">
        <v>32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140</v>
      </c>
      <c r="C15" s="7" t="s">
        <v>141</v>
      </c>
      <c r="D15" s="7" t="s">
        <v>142</v>
      </c>
      <c r="E15" s="7">
        <v>7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1324</v>
      </c>
      <c r="C16" s="8" t="s">
        <v>141</v>
      </c>
      <c r="D16" s="8" t="s">
        <v>142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931</v>
      </c>
      <c r="C17" s="7" t="s">
        <v>555</v>
      </c>
      <c r="D17" s="7" t="s">
        <v>556</v>
      </c>
      <c r="E17" s="7">
        <v>2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554</v>
      </c>
      <c r="C18" s="8" t="s">
        <v>555</v>
      </c>
      <c r="D18" s="8" t="s">
        <v>556</v>
      </c>
      <c r="E18" s="8">
        <v>3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1220</v>
      </c>
      <c r="C19" s="7" t="s">
        <v>153</v>
      </c>
      <c r="D19" s="7" t="s">
        <v>154</v>
      </c>
      <c r="E19" s="7">
        <v>5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525</v>
      </c>
      <c r="C20" s="8" t="s">
        <v>328</v>
      </c>
      <c r="D20" s="8" t="s">
        <v>329</v>
      </c>
      <c r="E20" s="8">
        <v>4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997</v>
      </c>
      <c r="C21" s="7" t="s">
        <v>153</v>
      </c>
      <c r="D21" s="7" t="s">
        <v>925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1309</v>
      </c>
      <c r="C22" s="8" t="s">
        <v>555</v>
      </c>
      <c r="D22" s="8" t="s">
        <v>556</v>
      </c>
      <c r="E22" s="8">
        <v>2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1307</v>
      </c>
      <c r="C23" s="7" t="s">
        <v>842</v>
      </c>
      <c r="D23" s="7" t="s">
        <v>843</v>
      </c>
      <c r="E23" s="7">
        <v>1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1305</v>
      </c>
      <c r="C24" s="8" t="s">
        <v>153</v>
      </c>
      <c r="D24" s="8" t="s">
        <v>925</v>
      </c>
      <c r="E24" s="8">
        <v>1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1076</v>
      </c>
      <c r="C25" s="7" t="s">
        <v>328</v>
      </c>
      <c r="D25" s="7" t="s">
        <v>329</v>
      </c>
      <c r="E25" s="7">
        <v>2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995</v>
      </c>
      <c r="C26" s="8" t="s">
        <v>328</v>
      </c>
      <c r="D26" s="8" t="s">
        <v>329</v>
      </c>
      <c r="E26" s="8">
        <v>2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1299</v>
      </c>
      <c r="C27" s="7" t="s">
        <v>153</v>
      </c>
      <c r="D27" s="7" t="s">
        <v>154</v>
      </c>
      <c r="E27" s="7">
        <v>3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728</v>
      </c>
      <c r="C28" s="8" t="s">
        <v>153</v>
      </c>
      <c r="D28" s="8" t="s">
        <v>154</v>
      </c>
      <c r="E28" s="8">
        <v>3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1297</v>
      </c>
      <c r="C29" s="7" t="s">
        <v>153</v>
      </c>
      <c r="D29" s="7" t="s">
        <v>154</v>
      </c>
      <c r="E29" s="7">
        <v>3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>
      <c r="A30" s="8">
        <v>26</v>
      </c>
      <c r="B30" s="8" t="s">
        <v>1194</v>
      </c>
      <c r="C30" s="8" t="s">
        <v>328</v>
      </c>
      <c r="D30" s="8" t="s">
        <v>329</v>
      </c>
      <c r="E30" s="8">
        <v>2</v>
      </c>
      <c r="F30" s="8" t="str">
        <f t="array" ref="F30">IFERROR(_xlfn.XLOOKUP(B30,#REF!,#REF!,""),"")</f>
        <v/>
      </c>
      <c r="G30" s="8" t="str">
        <f t="array" ref="G30">IFERROR(_xlfn.XLOOKUP(B30,#REF!,#REF!,""),"")</f>
        <v/>
      </c>
      <c r="H30" s="8" t="str">
        <f t="array" ref="H30">IFERROR(_xlfn.XLOOKUP(B30,#REF!,#REF!,""),"")</f>
        <v/>
      </c>
      <c r="I30" s="3"/>
      <c r="J30" s="3"/>
    </row>
    <row r="31" spans="1:10" ht="15.75" customHeight="1" x14ac:dyDescent="0.3">
      <c r="A31" s="7">
        <v>27</v>
      </c>
      <c r="B31" s="7" t="s">
        <v>1296</v>
      </c>
      <c r="C31" s="7" t="s">
        <v>328</v>
      </c>
      <c r="D31" s="7" t="s">
        <v>329</v>
      </c>
      <c r="E31" s="7">
        <v>3</v>
      </c>
      <c r="F31" s="7" t="str">
        <f t="array" ref="F31">IFERROR(_xlfn.XLOOKUP(B31,#REF!,#REF!,""),"")</f>
        <v/>
      </c>
      <c r="G31" s="7" t="str">
        <f t="array" ref="G31">IFERROR(_xlfn.XLOOKUP(B31,#REF!,#REF!,""),"")</f>
        <v/>
      </c>
      <c r="H31" s="7" t="str">
        <f t="array" ref="H31">IFERROR(_xlfn.XLOOKUP(B31,#REF!,#REF!,""),"")</f>
        <v/>
      </c>
      <c r="I31" s="3"/>
      <c r="J31" s="3"/>
    </row>
    <row r="32" spans="1:10" ht="15.75" customHeight="1" x14ac:dyDescent="0.3">
      <c r="A32" s="8">
        <v>28</v>
      </c>
      <c r="B32" s="8" t="s">
        <v>1295</v>
      </c>
      <c r="C32" s="8" t="s">
        <v>328</v>
      </c>
      <c r="D32" s="8" t="s">
        <v>329</v>
      </c>
      <c r="E32" s="8">
        <v>12</v>
      </c>
      <c r="F32" s="8" t="str">
        <f t="array" ref="F32">IFERROR(_xlfn.XLOOKUP(B32,#REF!,#REF!,""),"")</f>
        <v/>
      </c>
      <c r="G32" s="8" t="str">
        <f t="array" ref="G32">IFERROR(_xlfn.XLOOKUP(B32,#REF!,#REF!,""),"")</f>
        <v/>
      </c>
      <c r="H32" s="8" t="str">
        <f t="array" ref="H32">IFERROR(_xlfn.XLOOKUP(B32,#REF!,#REF!,""),"")</f>
        <v/>
      </c>
      <c r="I32" s="3"/>
      <c r="J32" s="3"/>
    </row>
    <row r="33" spans="1:10" ht="15.75" customHeight="1" x14ac:dyDescent="0.3">
      <c r="A33" s="7">
        <v>29</v>
      </c>
      <c r="B33" s="7" t="s">
        <v>1193</v>
      </c>
      <c r="C33" s="7" t="s">
        <v>328</v>
      </c>
      <c r="D33" s="7" t="s">
        <v>329</v>
      </c>
      <c r="E33" s="7">
        <v>3</v>
      </c>
      <c r="F33" s="7" t="str">
        <f t="array" ref="F33">IFERROR(_xlfn.XLOOKUP(B33,#REF!,#REF!,""),"")</f>
        <v/>
      </c>
      <c r="G33" s="7" t="str">
        <f t="array" ref="G33">IFERROR(_xlfn.XLOOKUP(B33,#REF!,#REF!,""),"")</f>
        <v/>
      </c>
      <c r="H33" s="7" t="str">
        <f t="array" ref="H33">IFERROR(_xlfn.XLOOKUP(B33,#REF!,#REF!,""),"")</f>
        <v/>
      </c>
      <c r="I33" s="3"/>
      <c r="J33" s="3"/>
    </row>
    <row r="34" spans="1:10" ht="15.75" customHeight="1" x14ac:dyDescent="0.3">
      <c r="A34" s="8">
        <v>30</v>
      </c>
      <c r="B34" s="8" t="s">
        <v>724</v>
      </c>
      <c r="C34" s="8" t="s">
        <v>328</v>
      </c>
      <c r="D34" s="8" t="s">
        <v>329</v>
      </c>
      <c r="E34" s="8">
        <v>14</v>
      </c>
      <c r="F34" s="8" t="str">
        <f t="array" ref="F34">IFERROR(_xlfn.XLOOKUP(B34,#REF!,#REF!,""),"")</f>
        <v/>
      </c>
      <c r="G34" s="8" t="str">
        <f t="array" ref="G34">IFERROR(_xlfn.XLOOKUP(B34,#REF!,#REF!,""),"")</f>
        <v/>
      </c>
      <c r="H34" s="8" t="str">
        <f t="array" ref="H34">IFERROR(_xlfn.XLOOKUP(B34,#REF!,#REF!,""),"")</f>
        <v/>
      </c>
      <c r="I34" s="3"/>
      <c r="J34" s="3"/>
    </row>
    <row r="35" spans="1:10" ht="15.75" customHeight="1" x14ac:dyDescent="0.3">
      <c r="A35" s="7">
        <v>31</v>
      </c>
      <c r="B35" s="7" t="s">
        <v>1293</v>
      </c>
      <c r="C35" s="7" t="s">
        <v>328</v>
      </c>
      <c r="D35" s="7" t="s">
        <v>329</v>
      </c>
      <c r="E35" s="7">
        <v>2</v>
      </c>
      <c r="F35" s="7" t="str">
        <f t="array" ref="F35">IFERROR(_xlfn.XLOOKUP(B35,#REF!,#REF!,""),"")</f>
        <v/>
      </c>
      <c r="G35" s="7" t="str">
        <f t="array" ref="G35">IFERROR(_xlfn.XLOOKUP(B35,#REF!,#REF!,""),"")</f>
        <v/>
      </c>
      <c r="H35" s="7" t="str">
        <f t="array" ref="H35">IFERROR(_xlfn.XLOOKUP(B35,#REF!,#REF!,""),"")</f>
        <v/>
      </c>
      <c r="I35" s="3"/>
      <c r="J35" s="3"/>
    </row>
    <row r="36" spans="1:10" ht="15.75" customHeight="1" x14ac:dyDescent="0.3">
      <c r="A36" s="8">
        <v>32</v>
      </c>
      <c r="B36" s="8" t="s">
        <v>1292</v>
      </c>
      <c r="C36" s="8" t="s">
        <v>328</v>
      </c>
      <c r="D36" s="8" t="s">
        <v>329</v>
      </c>
      <c r="E36" s="8">
        <v>8</v>
      </c>
      <c r="F36" s="8" t="str">
        <f t="array" ref="F36">IFERROR(_xlfn.XLOOKUP(B36,#REF!,#REF!,""),"")</f>
        <v/>
      </c>
      <c r="G36" s="8" t="str">
        <f t="array" ref="G36">IFERROR(_xlfn.XLOOKUP(B36,#REF!,#REF!,""),"")</f>
        <v/>
      </c>
      <c r="H36" s="8" t="str">
        <f t="array" ref="H36">IFERROR(_xlfn.XLOOKUP(B36,#REF!,#REF!,""),"")</f>
        <v/>
      </c>
      <c r="I36" s="3"/>
      <c r="J36" s="3"/>
    </row>
    <row r="37" spans="1:10" ht="15.75" customHeight="1" x14ac:dyDescent="0.3">
      <c r="A37" s="7">
        <v>33</v>
      </c>
      <c r="B37" s="7" t="s">
        <v>1291</v>
      </c>
      <c r="C37" s="7" t="s">
        <v>328</v>
      </c>
      <c r="D37" s="7" t="s">
        <v>329</v>
      </c>
      <c r="E37" s="7">
        <v>2</v>
      </c>
      <c r="F37" s="7" t="str">
        <f t="array" ref="F37">IFERROR(_xlfn.XLOOKUP(B37,#REF!,#REF!,""),"")</f>
        <v/>
      </c>
      <c r="G37" s="7" t="str">
        <f t="array" ref="G37">IFERROR(_xlfn.XLOOKUP(B37,#REF!,#REF!,""),"")</f>
        <v/>
      </c>
      <c r="H37" s="7" t="str">
        <f t="array" ref="H37">IFERROR(_xlfn.XLOOKUP(B37,#REF!,#REF!,""),"")</f>
        <v/>
      </c>
      <c r="I37" s="3"/>
      <c r="J37" s="3"/>
    </row>
    <row r="38" spans="1:10" ht="15.75" customHeight="1" x14ac:dyDescent="0.3">
      <c r="A38" s="8">
        <v>34</v>
      </c>
      <c r="B38" s="8" t="s">
        <v>1192</v>
      </c>
      <c r="C38" s="8" t="s">
        <v>1107</v>
      </c>
      <c r="D38" s="8" t="s">
        <v>1108</v>
      </c>
      <c r="E38" s="8">
        <v>1</v>
      </c>
      <c r="F38" s="8" t="str">
        <f t="array" ref="F38">IFERROR(_xlfn.XLOOKUP(B38,#REF!,#REF!,""),"")</f>
        <v/>
      </c>
      <c r="G38" s="8" t="str">
        <f t="array" ref="G38">IFERROR(_xlfn.XLOOKUP(B38,#REF!,#REF!,""),"")</f>
        <v/>
      </c>
      <c r="H38" s="8" t="str">
        <f t="array" ref="H38">IFERROR(_xlfn.XLOOKUP(B38,#REF!,#REF!,""),"")</f>
        <v/>
      </c>
      <c r="I38" s="3"/>
      <c r="J38" s="3"/>
    </row>
    <row r="39" spans="1:10" ht="15.75" customHeight="1" x14ac:dyDescent="0.3">
      <c r="A39" s="7">
        <v>35</v>
      </c>
      <c r="B39" s="7" t="s">
        <v>812</v>
      </c>
      <c r="C39" s="7" t="s">
        <v>21</v>
      </c>
      <c r="D39" s="7" t="s">
        <v>23</v>
      </c>
      <c r="E39" s="7">
        <v>2</v>
      </c>
      <c r="F39" s="7" t="str">
        <f t="array" ref="F39">IFERROR(_xlfn.XLOOKUP(B39,#REF!,#REF!,""),"")</f>
        <v/>
      </c>
      <c r="G39" s="7" t="str">
        <f t="array" ref="G39">IFERROR(_xlfn.XLOOKUP(B39,#REF!,#REF!,""),"")</f>
        <v/>
      </c>
      <c r="H39" s="7" t="str">
        <f t="array" ref="H39">IFERROR(_xlfn.XLOOKUP(B39,#REF!,#REF!,""),"")</f>
        <v/>
      </c>
      <c r="I39" s="3"/>
      <c r="J39" s="3"/>
    </row>
    <row r="40" spans="1:10" ht="15.75" customHeight="1" x14ac:dyDescent="0.3">
      <c r="A40" s="8">
        <v>36</v>
      </c>
      <c r="B40" s="8" t="s">
        <v>46</v>
      </c>
      <c r="C40" s="8" t="s">
        <v>21</v>
      </c>
      <c r="D40" s="8" t="s">
        <v>23</v>
      </c>
      <c r="E40" s="8">
        <v>2</v>
      </c>
      <c r="F40" s="8" t="str">
        <f t="array" ref="F40">IFERROR(_xlfn.XLOOKUP(B40,#REF!,#REF!,""),"")</f>
        <v/>
      </c>
      <c r="G40" s="8" t="str">
        <f t="array" ref="G40">IFERROR(_xlfn.XLOOKUP(B40,#REF!,#REF!,""),"")</f>
        <v/>
      </c>
      <c r="H40" s="8" t="str">
        <f t="array" ref="H40">IFERROR(_xlfn.XLOOKUP(B40,#REF!,#REF!,""),"")</f>
        <v/>
      </c>
      <c r="I40" s="3"/>
      <c r="J40" s="3"/>
    </row>
    <row r="41" spans="1:10" ht="15.75" customHeight="1" x14ac:dyDescent="0.3">
      <c r="A41" s="7">
        <v>37</v>
      </c>
      <c r="B41" s="7" t="s">
        <v>547</v>
      </c>
      <c r="C41" s="7" t="s">
        <v>21</v>
      </c>
      <c r="D41" s="7" t="s">
        <v>23</v>
      </c>
      <c r="E41" s="7">
        <v>2</v>
      </c>
      <c r="F41" s="7" t="str">
        <f t="array" ref="F41">IFERROR(_xlfn.XLOOKUP(B41,#REF!,#REF!,""),"")</f>
        <v/>
      </c>
      <c r="G41" s="7" t="str">
        <f t="array" ref="G41">IFERROR(_xlfn.XLOOKUP(B41,#REF!,#REF!,""),"")</f>
        <v/>
      </c>
      <c r="H41" s="7" t="str">
        <f t="array" ref="H41">IFERROR(_xlfn.XLOOKUP(B41,#REF!,#REF!,""),"")</f>
        <v/>
      </c>
      <c r="I41" s="3"/>
      <c r="J41" s="3"/>
    </row>
    <row r="42" spans="1:10" ht="15.75" customHeight="1" x14ac:dyDescent="0.3">
      <c r="A42" s="8">
        <v>38</v>
      </c>
      <c r="B42" s="8" t="s">
        <v>992</v>
      </c>
      <c r="C42" s="8" t="s">
        <v>17</v>
      </c>
      <c r="D42" s="8" t="s">
        <v>18</v>
      </c>
      <c r="E42" s="8">
        <v>4</v>
      </c>
      <c r="F42" s="8" t="str">
        <f t="array" ref="F42">IFERROR(_xlfn.XLOOKUP(B42,#REF!,#REF!,""),"")</f>
        <v/>
      </c>
      <c r="G42" s="8" t="str">
        <f t="array" ref="G42">IFERROR(_xlfn.XLOOKUP(B42,#REF!,#REF!,""),"")</f>
        <v/>
      </c>
      <c r="H42" s="8" t="str">
        <f t="array" ref="H42">IFERROR(_xlfn.XLOOKUP(B42,#REF!,#REF!,""),"")</f>
        <v/>
      </c>
      <c r="I42" s="3"/>
      <c r="J42" s="3"/>
    </row>
    <row r="43" spans="1:10" ht="15.75" customHeight="1" x14ac:dyDescent="0.3">
      <c r="A43" s="7">
        <v>39</v>
      </c>
      <c r="B43" s="7" t="s">
        <v>1290</v>
      </c>
      <c r="C43" s="7" t="s">
        <v>17</v>
      </c>
      <c r="D43" s="7" t="s">
        <v>18</v>
      </c>
      <c r="E43" s="7">
        <v>7</v>
      </c>
      <c r="F43" s="7" t="str">
        <f t="array" ref="F43">IFERROR(_xlfn.XLOOKUP(B43,#REF!,#REF!,""),"")</f>
        <v/>
      </c>
      <c r="G43" s="7" t="str">
        <f t="array" ref="G43">IFERROR(_xlfn.XLOOKUP(B43,#REF!,#REF!,""),"")</f>
        <v/>
      </c>
      <c r="H43" s="7" t="str">
        <f t="array" ref="H43">IFERROR(_xlfn.XLOOKUP(B43,#REF!,#REF!,""),"")</f>
        <v/>
      </c>
      <c r="I43" s="3"/>
      <c r="J43" s="3"/>
    </row>
    <row r="44" spans="1:10" ht="15.75" customHeight="1" x14ac:dyDescent="0.3">
      <c r="A44" s="8">
        <v>40</v>
      </c>
      <c r="B44" s="8" t="s">
        <v>707</v>
      </c>
      <c r="C44" s="8" t="s">
        <v>17</v>
      </c>
      <c r="D44" s="8" t="s">
        <v>18</v>
      </c>
      <c r="E44" s="8">
        <v>6</v>
      </c>
      <c r="F44" s="8" t="str">
        <f t="array" ref="F44">IFERROR(_xlfn.XLOOKUP(B44,#REF!,#REF!,""),"")</f>
        <v/>
      </c>
      <c r="G44" s="8" t="str">
        <f t="array" ref="G44">IFERROR(_xlfn.XLOOKUP(B44,#REF!,#REF!,""),"")</f>
        <v/>
      </c>
      <c r="H44" s="8" t="str">
        <f t="array" ref="H44">IFERROR(_xlfn.XLOOKUP(B44,#REF!,#REF!,""),"")</f>
        <v/>
      </c>
      <c r="I44" s="3"/>
      <c r="J44" s="3"/>
    </row>
    <row r="45" spans="1:10" ht="15.75" customHeight="1" x14ac:dyDescent="0.3">
      <c r="A45" s="7">
        <v>41</v>
      </c>
      <c r="B45" s="7" t="s">
        <v>706</v>
      </c>
      <c r="C45" s="7" t="s">
        <v>17</v>
      </c>
      <c r="D45" s="7" t="s">
        <v>18</v>
      </c>
      <c r="E45" s="7">
        <v>27</v>
      </c>
      <c r="F45" s="7" t="str">
        <f t="array" ref="F45">IFERROR(_xlfn.XLOOKUP(B45,#REF!,#REF!,""),"")</f>
        <v/>
      </c>
      <c r="G45" s="7" t="str">
        <f t="array" ref="G45">IFERROR(_xlfn.XLOOKUP(B45,#REF!,#REF!,""),"")</f>
        <v/>
      </c>
      <c r="H45" s="7" t="str">
        <f t="array" ref="H45">IFERROR(_xlfn.XLOOKUP(B45,#REF!,#REF!,""),"")</f>
        <v/>
      </c>
      <c r="I45" s="3"/>
      <c r="J45" s="3"/>
    </row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45" xr:uid="{00000000-0009-0000-0000-000043000000}">
    <sortState xmlns:xlrd2="http://schemas.microsoft.com/office/spreadsheetml/2017/richdata2" ref="A5:H45">
      <sortCondition ref="A4:A45"/>
    </sortState>
  </autoFilter>
  <mergeCells count="2">
    <mergeCell ref="A1:H1"/>
    <mergeCell ref="A2:H2"/>
  </mergeCells>
  <conditionalFormatting sqref="G5:G45">
    <cfRule type="expression" dxfId="14" priority="1">
      <formula>G5="OUT OF STOCK"</formula>
    </cfRule>
    <cfRule type="expression" dxfId="13" priority="2">
      <formula>G5="REORDER"</formula>
    </cfRule>
    <cfRule type="expression" dxfId="12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4.65" customHeight="1" x14ac:dyDescent="0.3">
      <c r="A1" s="24" t="s">
        <v>256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257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1231</v>
      </c>
      <c r="C5" s="8" t="s">
        <v>1232</v>
      </c>
      <c r="D5" s="8" t="s">
        <v>1233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1235</v>
      </c>
      <c r="C6" s="7" t="s">
        <v>1236</v>
      </c>
      <c r="D6" s="7" t="s">
        <v>1237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7" spans="1:10" ht="14" x14ac:dyDescent="0.3">
      <c r="A7" s="8">
        <v>3</v>
      </c>
      <c r="B7" s="8" t="s">
        <v>1286</v>
      </c>
      <c r="C7" s="8" t="s">
        <v>578</v>
      </c>
      <c r="D7" s="8" t="s">
        <v>579</v>
      </c>
      <c r="E7" s="8">
        <v>1</v>
      </c>
      <c r="F7" s="8" t="str">
        <f t="array" ref="F7">IFERROR(_xlfn.XLOOKUP(B7,#REF!,#REF!,""),"")</f>
        <v/>
      </c>
      <c r="G7" s="8" t="str">
        <f t="array" ref="G7">IFERROR(_xlfn.XLOOKUP(B7,#REF!,#REF!,""),"")</f>
        <v/>
      </c>
      <c r="H7" s="8" t="str">
        <f t="array" ref="H7">IFERROR(_xlfn.XLOOKUP(B7,#REF!,#REF!,""),"")</f>
        <v/>
      </c>
      <c r="I7" s="3"/>
      <c r="J7" s="3"/>
    </row>
    <row r="8" spans="1:10" ht="14" x14ac:dyDescent="0.3">
      <c r="A8" s="7">
        <v>4</v>
      </c>
      <c r="B8" s="7" t="s">
        <v>1279</v>
      </c>
      <c r="C8" s="7" t="s">
        <v>957</v>
      </c>
      <c r="D8" s="7" t="s">
        <v>958</v>
      </c>
      <c r="E8" s="7">
        <v>1</v>
      </c>
      <c r="F8" s="7" t="str">
        <f t="array" ref="F8">IFERROR(_xlfn.XLOOKUP(B8,#REF!,#REF!,""),"")</f>
        <v/>
      </c>
      <c r="G8" s="7" t="str">
        <f t="array" ref="G8">IFERROR(_xlfn.XLOOKUP(B8,#REF!,#REF!,""),"")</f>
        <v/>
      </c>
      <c r="H8" s="7" t="str">
        <f t="array" ref="H8">IFERROR(_xlfn.XLOOKUP(B8,#REF!,#REF!,""),"")</f>
        <v/>
      </c>
      <c r="I8" s="3"/>
      <c r="J8" s="3"/>
    </row>
    <row r="9" spans="1:10" ht="14" x14ac:dyDescent="0.3">
      <c r="A9" s="8">
        <v>5</v>
      </c>
      <c r="B9" s="8" t="s">
        <v>1327</v>
      </c>
      <c r="C9" s="8" t="s">
        <v>831</v>
      </c>
      <c r="D9" s="8" t="s">
        <v>832</v>
      </c>
      <c r="E9" s="8">
        <v>1</v>
      </c>
      <c r="F9" s="8" t="str">
        <f t="array" ref="F9">IFERROR(_xlfn.XLOOKUP(B9,#REF!,#REF!,""),"")</f>
        <v/>
      </c>
      <c r="G9" s="8" t="str">
        <f t="array" ref="G9">IFERROR(_xlfn.XLOOKUP(B9,#REF!,#REF!,""),"")</f>
        <v/>
      </c>
      <c r="H9" s="8" t="str">
        <f t="array" ref="H9">IFERROR(_xlfn.XLOOKUP(B9,#REF!,#REF!,""),"")</f>
        <v/>
      </c>
      <c r="I9" s="3"/>
      <c r="J9" s="3"/>
    </row>
    <row r="10" spans="1:10" ht="14" x14ac:dyDescent="0.3">
      <c r="A10" s="7">
        <v>6</v>
      </c>
      <c r="B10" s="7" t="s">
        <v>234</v>
      </c>
      <c r="C10" s="7" t="s">
        <v>43</v>
      </c>
      <c r="D10" s="7" t="s">
        <v>44</v>
      </c>
      <c r="E10" s="7">
        <v>4</v>
      </c>
      <c r="F10" s="7" t="str">
        <f t="array" ref="F10">IFERROR(_xlfn.XLOOKUP(B10,#REF!,#REF!,""),"")</f>
        <v/>
      </c>
      <c r="G10" s="7" t="str">
        <f t="array" ref="G10">IFERROR(_xlfn.XLOOKUP(B10,#REF!,#REF!,""),"")</f>
        <v/>
      </c>
      <c r="H10" s="7" t="str">
        <f t="array" ref="H10">IFERROR(_xlfn.XLOOKUP(B10,#REF!,#REF!,""),"")</f>
        <v/>
      </c>
      <c r="I10" s="3"/>
      <c r="J10" s="3"/>
    </row>
    <row r="11" spans="1:10" ht="14" x14ac:dyDescent="0.3">
      <c r="A11" s="8">
        <v>7</v>
      </c>
      <c r="B11" s="8" t="s">
        <v>190</v>
      </c>
      <c r="C11" s="8" t="s">
        <v>43</v>
      </c>
      <c r="D11" s="8" t="s">
        <v>44</v>
      </c>
      <c r="E11" s="8">
        <v>1</v>
      </c>
      <c r="F11" s="8" t="str">
        <f t="array" ref="F11">IFERROR(_xlfn.XLOOKUP(B11,#REF!,#REF!,""),"")</f>
        <v/>
      </c>
      <c r="G11" s="8" t="str">
        <f t="array" ref="G11">IFERROR(_xlfn.XLOOKUP(B11,#REF!,#REF!,""),"")</f>
        <v/>
      </c>
      <c r="H11" s="8" t="str">
        <f t="array" ref="H11">IFERROR(_xlfn.XLOOKUP(B11,#REF!,#REF!,""),"")</f>
        <v/>
      </c>
      <c r="I11" s="3"/>
      <c r="J11" s="3"/>
    </row>
    <row r="12" spans="1:10" ht="14" x14ac:dyDescent="0.3">
      <c r="A12" s="7">
        <v>8</v>
      </c>
      <c r="B12" s="7" t="s">
        <v>1153</v>
      </c>
      <c r="C12" s="7" t="s">
        <v>91</v>
      </c>
      <c r="D12" s="7" t="s">
        <v>92</v>
      </c>
      <c r="E12" s="7">
        <v>1</v>
      </c>
      <c r="F12" s="7" t="str">
        <f t="array" ref="F12">IFERROR(_xlfn.XLOOKUP(B12,#REF!,#REF!,""),"")</f>
        <v/>
      </c>
      <c r="G12" s="7" t="str">
        <f t="array" ref="G12">IFERROR(_xlfn.XLOOKUP(B12,#REF!,#REF!,""),"")</f>
        <v/>
      </c>
      <c r="H12" s="7" t="str">
        <f t="array" ref="H12">IFERROR(_xlfn.XLOOKUP(B12,#REF!,#REF!,""),"")</f>
        <v/>
      </c>
      <c r="I12" s="3"/>
      <c r="J12" s="3"/>
    </row>
    <row r="13" spans="1:10" ht="14" x14ac:dyDescent="0.3">
      <c r="A13" s="8">
        <v>9</v>
      </c>
      <c r="B13" s="8" t="s">
        <v>1333</v>
      </c>
      <c r="C13" s="8" t="s">
        <v>644</v>
      </c>
      <c r="D13" s="8" t="s">
        <v>645</v>
      </c>
      <c r="E13" s="8">
        <v>1</v>
      </c>
      <c r="F13" s="8" t="str">
        <f t="array" ref="F13">IFERROR(_xlfn.XLOOKUP(B13,#REF!,#REF!,""),"")</f>
        <v/>
      </c>
      <c r="G13" s="8" t="str">
        <f t="array" ref="G13">IFERROR(_xlfn.XLOOKUP(B13,#REF!,#REF!,""),"")</f>
        <v/>
      </c>
      <c r="H13" s="8" t="str">
        <f t="array" ref="H13">IFERROR(_xlfn.XLOOKUP(B13,#REF!,#REF!,""),"")</f>
        <v/>
      </c>
      <c r="I13" s="3"/>
      <c r="J13" s="3"/>
    </row>
    <row r="14" spans="1:10" ht="14" x14ac:dyDescent="0.3">
      <c r="A14" s="7">
        <v>10</v>
      </c>
      <c r="B14" s="7" t="s">
        <v>1332</v>
      </c>
      <c r="C14" s="7" t="s">
        <v>474</v>
      </c>
      <c r="D14" s="7" t="s">
        <v>475</v>
      </c>
      <c r="E14" s="7">
        <v>2</v>
      </c>
      <c r="F14" s="7" t="str">
        <f t="array" ref="F14">IFERROR(_xlfn.XLOOKUP(B14,#REF!,#REF!,""),"")</f>
        <v/>
      </c>
      <c r="G14" s="7" t="str">
        <f t="array" ref="G14">IFERROR(_xlfn.XLOOKUP(B14,#REF!,#REF!,""),"")</f>
        <v/>
      </c>
      <c r="H14" s="7" t="str">
        <f t="array" ref="H14">IFERROR(_xlfn.XLOOKUP(B14,#REF!,#REF!,""),"")</f>
        <v/>
      </c>
      <c r="I14" s="3"/>
      <c r="J14" s="3"/>
    </row>
    <row r="15" spans="1:10" ht="14" x14ac:dyDescent="0.3">
      <c r="A15" s="8">
        <v>11</v>
      </c>
      <c r="B15" s="8" t="s">
        <v>1330</v>
      </c>
      <c r="C15" s="8" t="s">
        <v>1147</v>
      </c>
      <c r="D15" s="8" t="s">
        <v>1148</v>
      </c>
      <c r="E15" s="8">
        <v>1</v>
      </c>
      <c r="F15" s="8" t="str">
        <f t="array" ref="F15">IFERROR(_xlfn.XLOOKUP(B15,#REF!,#REF!,""),"")</f>
        <v/>
      </c>
      <c r="G15" s="8" t="str">
        <f t="array" ref="G15">IFERROR(_xlfn.XLOOKUP(B15,#REF!,#REF!,""),"")</f>
        <v/>
      </c>
      <c r="H15" s="8" t="str">
        <f t="array" ref="H15">IFERROR(_xlfn.XLOOKUP(B15,#REF!,#REF!,""),"")</f>
        <v/>
      </c>
      <c r="I15" s="3"/>
      <c r="J15" s="3"/>
    </row>
    <row r="16" spans="1:10" ht="14" x14ac:dyDescent="0.3">
      <c r="A16" s="7">
        <v>12</v>
      </c>
      <c r="B16" s="7" t="s">
        <v>1329</v>
      </c>
      <c r="C16" s="7" t="s">
        <v>469</v>
      </c>
      <c r="D16" s="7" t="s">
        <v>470</v>
      </c>
      <c r="E16" s="7">
        <v>8</v>
      </c>
      <c r="F16" s="7" t="str">
        <f t="array" ref="F16">IFERROR(_xlfn.XLOOKUP(B16,#REF!,#REF!,""),"")</f>
        <v/>
      </c>
      <c r="G16" s="7" t="str">
        <f t="array" ref="G16">IFERROR(_xlfn.XLOOKUP(B16,#REF!,#REF!,""),"")</f>
        <v/>
      </c>
      <c r="H16" s="7" t="str">
        <f t="array" ref="H16">IFERROR(_xlfn.XLOOKUP(B16,#REF!,#REF!,""),"")</f>
        <v/>
      </c>
      <c r="I16" s="3"/>
      <c r="J16" s="3"/>
    </row>
    <row r="17" spans="1:10" ht="14" x14ac:dyDescent="0.3">
      <c r="A17" s="8">
        <v>13</v>
      </c>
      <c r="B17" s="8" t="s">
        <v>1328</v>
      </c>
      <c r="C17" s="8" t="s">
        <v>217</v>
      </c>
      <c r="D17" s="8" t="s">
        <v>218</v>
      </c>
      <c r="E17" s="8">
        <v>2</v>
      </c>
      <c r="F17" s="8" t="str">
        <f t="array" ref="F17">IFERROR(_xlfn.XLOOKUP(B17,#REF!,#REF!,""),"")</f>
        <v/>
      </c>
      <c r="G17" s="8" t="str">
        <f t="array" ref="G17">IFERROR(_xlfn.XLOOKUP(B17,#REF!,#REF!,""),"")</f>
        <v/>
      </c>
      <c r="H17" s="8" t="str">
        <f t="array" ref="H17">IFERROR(_xlfn.XLOOKUP(B17,#REF!,#REF!,""),"")</f>
        <v/>
      </c>
      <c r="I17" s="3"/>
      <c r="J17" s="3"/>
    </row>
    <row r="18" spans="1:10" ht="14" x14ac:dyDescent="0.3">
      <c r="A18" s="7">
        <v>14</v>
      </c>
      <c r="B18" s="7" t="s">
        <v>1137</v>
      </c>
      <c r="C18" s="7" t="s">
        <v>217</v>
      </c>
      <c r="D18" s="7" t="s">
        <v>218</v>
      </c>
      <c r="E18" s="7">
        <v>1</v>
      </c>
      <c r="F18" s="7" t="str">
        <f t="array" ref="F18">IFERROR(_xlfn.XLOOKUP(B18,#REF!,#REF!,""),"")</f>
        <v/>
      </c>
      <c r="G18" s="7" t="str">
        <f t="array" ref="G18">IFERROR(_xlfn.XLOOKUP(B18,#REF!,#REF!,""),"")</f>
        <v/>
      </c>
      <c r="H18" s="7" t="str">
        <f t="array" ref="H18">IFERROR(_xlfn.XLOOKUP(B18,#REF!,#REF!,""),"")</f>
        <v/>
      </c>
      <c r="I18" s="3"/>
      <c r="J18" s="3"/>
    </row>
    <row r="19" spans="1:10" ht="15.75" customHeight="1" x14ac:dyDescent="0.3">
      <c r="A19" s="8">
        <v>15</v>
      </c>
      <c r="B19" s="8" t="s">
        <v>965</v>
      </c>
      <c r="C19" s="8" t="s">
        <v>217</v>
      </c>
      <c r="D19" s="8" t="s">
        <v>218</v>
      </c>
      <c r="E19" s="8">
        <v>1</v>
      </c>
      <c r="F19" s="8" t="str">
        <f t="array" ref="F19">IFERROR(_xlfn.XLOOKUP(B19,#REF!,#REF!,""),"")</f>
        <v/>
      </c>
      <c r="G19" s="8" t="str">
        <f t="array" ref="G19">IFERROR(_xlfn.XLOOKUP(B19,#REF!,#REF!,""),"")</f>
        <v/>
      </c>
      <c r="H19" s="8" t="str">
        <f t="array" ref="H19">IFERROR(_xlfn.XLOOKUP(B19,#REF!,#REF!,""),"")</f>
        <v/>
      </c>
      <c r="I19" s="3"/>
      <c r="J19" s="3"/>
    </row>
    <row r="20" spans="1:10" ht="15.75" customHeight="1" x14ac:dyDescent="0.3">
      <c r="A20" s="7">
        <v>16</v>
      </c>
      <c r="B20" s="7" t="s">
        <v>819</v>
      </c>
      <c r="C20" s="7" t="s">
        <v>217</v>
      </c>
      <c r="D20" s="7" t="s">
        <v>218</v>
      </c>
      <c r="E20" s="7">
        <v>1</v>
      </c>
      <c r="F20" s="7" t="str">
        <f t="array" ref="F20">IFERROR(_xlfn.XLOOKUP(B20,#REF!,#REF!,""),"")</f>
        <v/>
      </c>
      <c r="G20" s="7" t="str">
        <f t="array" ref="G20">IFERROR(_xlfn.XLOOKUP(B20,#REF!,#REF!,""),"")</f>
        <v/>
      </c>
      <c r="H20" s="7" t="str">
        <f t="array" ref="H20">IFERROR(_xlfn.XLOOKUP(B20,#REF!,#REF!,""),"")</f>
        <v/>
      </c>
      <c r="I20" s="3"/>
      <c r="J20" s="3"/>
    </row>
    <row r="21" spans="1:10" ht="15.75" customHeight="1" x14ac:dyDescent="0.3">
      <c r="A21" s="8">
        <v>17</v>
      </c>
      <c r="B21" s="8" t="s">
        <v>184</v>
      </c>
      <c r="C21" s="8" t="s">
        <v>31</v>
      </c>
      <c r="D21" s="8" t="s">
        <v>32</v>
      </c>
      <c r="E21" s="8">
        <v>9</v>
      </c>
      <c r="F21" s="8" t="str">
        <f t="array" ref="F21">IFERROR(_xlfn.XLOOKUP(B21,#REF!,#REF!,""),"")</f>
        <v/>
      </c>
      <c r="G21" s="8" t="str">
        <f t="array" ref="G21">IFERROR(_xlfn.XLOOKUP(B21,#REF!,#REF!,""),"")</f>
        <v/>
      </c>
      <c r="H21" s="8" t="str">
        <f t="array" ref="H21">IFERROR(_xlfn.XLOOKUP(B21,#REF!,#REF!,""),"")</f>
        <v/>
      </c>
      <c r="I21" s="3"/>
      <c r="J21" s="3"/>
    </row>
    <row r="22" spans="1:10" ht="15.75" customHeight="1" x14ac:dyDescent="0.3">
      <c r="A22" s="7">
        <v>18</v>
      </c>
      <c r="B22" s="7" t="s">
        <v>201</v>
      </c>
      <c r="C22" s="7" t="s">
        <v>31</v>
      </c>
      <c r="D22" s="7" t="s">
        <v>32</v>
      </c>
      <c r="E22" s="7">
        <v>1</v>
      </c>
      <c r="F22" s="7" t="str">
        <f t="array" ref="F22">IFERROR(_xlfn.XLOOKUP(B22,#REF!,#REF!,""),"")</f>
        <v/>
      </c>
      <c r="G22" s="7" t="str">
        <f t="array" ref="G22">IFERROR(_xlfn.XLOOKUP(B22,#REF!,#REF!,""),"")</f>
        <v/>
      </c>
      <c r="H22" s="7" t="str">
        <f t="array" ref="H22">IFERROR(_xlfn.XLOOKUP(B22,#REF!,#REF!,""),"")</f>
        <v/>
      </c>
      <c r="I22" s="3"/>
      <c r="J22" s="3"/>
    </row>
    <row r="23" spans="1:10" ht="15.75" customHeight="1" x14ac:dyDescent="0.3">
      <c r="A23" s="8">
        <v>19</v>
      </c>
      <c r="B23" s="8" t="s">
        <v>1326</v>
      </c>
      <c r="C23" s="8" t="s">
        <v>297</v>
      </c>
      <c r="D23" s="8" t="s">
        <v>82</v>
      </c>
      <c r="E23" s="8">
        <v>1</v>
      </c>
      <c r="F23" s="8" t="str">
        <f t="array" ref="F23">IFERROR(_xlfn.XLOOKUP(B23,#REF!,#REF!,""),"")</f>
        <v/>
      </c>
      <c r="G23" s="8" t="str">
        <f t="array" ref="G23">IFERROR(_xlfn.XLOOKUP(B23,#REF!,#REF!,""),"")</f>
        <v/>
      </c>
      <c r="H23" s="8" t="str">
        <f t="array" ref="H23">IFERROR(_xlfn.XLOOKUP(B23,#REF!,#REF!,""),"")</f>
        <v/>
      </c>
      <c r="I23" s="3"/>
      <c r="J23" s="3"/>
    </row>
    <row r="24" spans="1:10" ht="15.75" customHeight="1" x14ac:dyDescent="0.3">
      <c r="A24" s="7">
        <v>20</v>
      </c>
      <c r="B24" s="7" t="s">
        <v>1325</v>
      </c>
      <c r="C24" s="7" t="s">
        <v>702</v>
      </c>
      <c r="D24" s="7" t="s">
        <v>703</v>
      </c>
      <c r="E24" s="7">
        <v>1</v>
      </c>
      <c r="F24" s="7" t="str">
        <f t="array" ref="F24">IFERROR(_xlfn.XLOOKUP(B24,#REF!,#REF!,""),"")</f>
        <v/>
      </c>
      <c r="G24" s="7" t="str">
        <f t="array" ref="G24">IFERROR(_xlfn.XLOOKUP(B24,#REF!,#REF!,""),"")</f>
        <v/>
      </c>
      <c r="H24" s="7" t="str">
        <f t="array" ref="H24">IFERROR(_xlfn.XLOOKUP(B24,#REF!,#REF!,""),"")</f>
        <v/>
      </c>
      <c r="I24" s="3"/>
      <c r="J24" s="3"/>
    </row>
    <row r="25" spans="1:10" ht="15.75" customHeight="1" x14ac:dyDescent="0.3">
      <c r="A25" s="8">
        <v>21</v>
      </c>
      <c r="B25" s="8" t="s">
        <v>1323</v>
      </c>
      <c r="C25" s="8" t="s">
        <v>81</v>
      </c>
      <c r="D25" s="8" t="s">
        <v>82</v>
      </c>
      <c r="E25" s="8">
        <v>1</v>
      </c>
      <c r="F25" s="8" t="str">
        <f t="array" ref="F25">IFERROR(_xlfn.XLOOKUP(B25,#REF!,#REF!,""),"")</f>
        <v/>
      </c>
      <c r="G25" s="8" t="str">
        <f t="array" ref="G25">IFERROR(_xlfn.XLOOKUP(B25,#REF!,#REF!,""),"")</f>
        <v/>
      </c>
      <c r="H25" s="8" t="str">
        <f t="array" ref="H25">IFERROR(_xlfn.XLOOKUP(B25,#REF!,#REF!,""),"")</f>
        <v/>
      </c>
      <c r="I25" s="3"/>
      <c r="J25" s="3"/>
    </row>
    <row r="26" spans="1:10" ht="15.75" customHeight="1" x14ac:dyDescent="0.3">
      <c r="A26" s="7">
        <v>22</v>
      </c>
      <c r="B26" s="7" t="s">
        <v>1322</v>
      </c>
      <c r="C26" s="7" t="s">
        <v>680</v>
      </c>
      <c r="D26" s="7" t="s">
        <v>681</v>
      </c>
      <c r="E26" s="7">
        <v>1</v>
      </c>
      <c r="F26" s="7" t="str">
        <f t="array" ref="F26">IFERROR(_xlfn.XLOOKUP(B26,#REF!,#REF!,""),"")</f>
        <v/>
      </c>
      <c r="G26" s="7" t="str">
        <f t="array" ref="G26">IFERROR(_xlfn.XLOOKUP(B26,#REF!,#REF!,""),"")</f>
        <v/>
      </c>
      <c r="H26" s="7" t="str">
        <f t="array" ref="H26">IFERROR(_xlfn.XLOOKUP(B26,#REF!,#REF!,""),"")</f>
        <v/>
      </c>
      <c r="I26" s="3"/>
      <c r="J26" s="3"/>
    </row>
    <row r="27" spans="1:10" ht="15.75" customHeight="1" x14ac:dyDescent="0.3">
      <c r="A27" s="8">
        <v>23</v>
      </c>
      <c r="B27" s="8" t="s">
        <v>1320</v>
      </c>
      <c r="C27" s="8" t="s">
        <v>1321</v>
      </c>
      <c r="D27" s="8" t="s">
        <v>648</v>
      </c>
      <c r="E27" s="8">
        <v>2</v>
      </c>
      <c r="F27" s="8" t="str">
        <f t="array" ref="F27">IFERROR(_xlfn.XLOOKUP(B27,#REF!,#REF!,""),"")</f>
        <v/>
      </c>
      <c r="G27" s="8" t="str">
        <f t="array" ref="G27">IFERROR(_xlfn.XLOOKUP(B27,#REF!,#REF!,""),"")</f>
        <v/>
      </c>
      <c r="H27" s="8" t="str">
        <f t="array" ref="H27">IFERROR(_xlfn.XLOOKUP(B27,#REF!,#REF!,""),"")</f>
        <v/>
      </c>
      <c r="I27" s="3"/>
      <c r="J27" s="3"/>
    </row>
    <row r="28" spans="1:10" ht="15.75" customHeight="1" x14ac:dyDescent="0.3">
      <c r="A28" s="7">
        <v>24</v>
      </c>
      <c r="B28" s="7" t="s">
        <v>1319</v>
      </c>
      <c r="C28" s="7" t="s">
        <v>138</v>
      </c>
      <c r="D28" s="7" t="s">
        <v>139</v>
      </c>
      <c r="E28" s="7">
        <v>1</v>
      </c>
      <c r="F28" s="7" t="str">
        <f t="array" ref="F28">IFERROR(_xlfn.XLOOKUP(B28,#REF!,#REF!,""),"")</f>
        <v/>
      </c>
      <c r="G28" s="7" t="str">
        <f t="array" ref="G28">IFERROR(_xlfn.XLOOKUP(B28,#REF!,#REF!,""),"")</f>
        <v/>
      </c>
      <c r="H28" s="7" t="str">
        <f t="array" ref="H28">IFERROR(_xlfn.XLOOKUP(B28,#REF!,#REF!,""),"")</f>
        <v/>
      </c>
      <c r="I28" s="3"/>
      <c r="J28" s="3"/>
    </row>
    <row r="29" spans="1:10" ht="15.75" customHeight="1" x14ac:dyDescent="0.3">
      <c r="A29" s="8">
        <v>25</v>
      </c>
      <c r="B29" s="8" t="s">
        <v>1318</v>
      </c>
      <c r="C29" s="8" t="s">
        <v>63</v>
      </c>
      <c r="D29" s="8" t="s">
        <v>65</v>
      </c>
      <c r="E29" s="8">
        <v>1</v>
      </c>
      <c r="F29" s="8" t="str">
        <f t="array" ref="F29">IFERROR(_xlfn.XLOOKUP(B29,#REF!,#REF!,""),"")</f>
        <v/>
      </c>
      <c r="G29" s="8" t="str">
        <f t="array" ref="G29">IFERROR(_xlfn.XLOOKUP(B29,#REF!,#REF!,""),"")</f>
        <v/>
      </c>
      <c r="H29" s="8" t="str">
        <f t="array" ref="H29">IFERROR(_xlfn.XLOOKUP(B29,#REF!,#REF!,""),"")</f>
        <v/>
      </c>
      <c r="I29" s="3"/>
      <c r="J29" s="3"/>
    </row>
    <row r="30" spans="1:10" ht="15.75" customHeight="1" x14ac:dyDescent="0.3">
      <c r="A30" s="7">
        <v>26</v>
      </c>
      <c r="B30" s="7" t="s">
        <v>1317</v>
      </c>
      <c r="C30" s="7" t="s">
        <v>81</v>
      </c>
      <c r="D30" s="7" t="s">
        <v>82</v>
      </c>
      <c r="E30" s="7">
        <v>1</v>
      </c>
      <c r="F30" s="7" t="str">
        <f t="array" ref="F30">IFERROR(_xlfn.XLOOKUP(B30,#REF!,#REF!,""),"")</f>
        <v/>
      </c>
      <c r="G30" s="7" t="str">
        <f t="array" ref="G30">IFERROR(_xlfn.XLOOKUP(B30,#REF!,#REF!,""),"")</f>
        <v/>
      </c>
      <c r="H30" s="7" t="str">
        <f t="array" ref="H30">IFERROR(_xlfn.XLOOKUP(B30,#REF!,#REF!,""),"")</f>
        <v/>
      </c>
      <c r="I30" s="3"/>
      <c r="J30" s="3"/>
    </row>
    <row r="31" spans="1:10" ht="15.75" customHeight="1" x14ac:dyDescent="0.3">
      <c r="A31" s="8">
        <v>27</v>
      </c>
      <c r="B31" s="8" t="s">
        <v>1316</v>
      </c>
      <c r="C31" s="8" t="s">
        <v>407</v>
      </c>
      <c r="D31" s="8" t="s">
        <v>408</v>
      </c>
      <c r="E31" s="8">
        <v>2</v>
      </c>
      <c r="F31" s="8" t="str">
        <f t="array" ref="F31">IFERROR(_xlfn.XLOOKUP(B31,#REF!,#REF!,""),"")</f>
        <v/>
      </c>
      <c r="G31" s="8" t="str">
        <f t="array" ref="G31">IFERROR(_xlfn.XLOOKUP(B31,#REF!,#REF!,""),"")</f>
        <v/>
      </c>
      <c r="H31" s="8" t="str">
        <f t="array" ref="H31">IFERROR(_xlfn.XLOOKUP(B31,#REF!,#REF!,""),"")</f>
        <v/>
      </c>
      <c r="I31" s="3"/>
      <c r="J31" s="3"/>
    </row>
    <row r="32" spans="1:10" ht="15.75" customHeight="1" x14ac:dyDescent="0.3">
      <c r="A32" s="7">
        <v>28</v>
      </c>
      <c r="B32" s="7" t="s">
        <v>1315</v>
      </c>
      <c r="C32" s="7" t="s">
        <v>407</v>
      </c>
      <c r="D32" s="7" t="s">
        <v>408</v>
      </c>
      <c r="E32" s="7">
        <v>1</v>
      </c>
      <c r="F32" s="7" t="str">
        <f t="array" ref="F32">IFERROR(_xlfn.XLOOKUP(B32,#REF!,#REF!,""),"")</f>
        <v/>
      </c>
      <c r="G32" s="7" t="str">
        <f t="array" ref="G32">IFERROR(_xlfn.XLOOKUP(B32,#REF!,#REF!,""),"")</f>
        <v/>
      </c>
      <c r="H32" s="7" t="str">
        <f t="array" ref="H32">IFERROR(_xlfn.XLOOKUP(B32,#REF!,#REF!,""),"")</f>
        <v/>
      </c>
      <c r="I32" s="3"/>
      <c r="J32" s="3"/>
    </row>
    <row r="33" spans="1:10" ht="15.75" customHeight="1" x14ac:dyDescent="0.3">
      <c r="A33" s="8">
        <v>29</v>
      </c>
      <c r="B33" s="8" t="s">
        <v>1313</v>
      </c>
      <c r="C33" s="8" t="s">
        <v>1314</v>
      </c>
      <c r="D33" s="8" t="s">
        <v>24</v>
      </c>
      <c r="E33" s="8">
        <v>1</v>
      </c>
      <c r="F33" s="8" t="str">
        <f t="array" ref="F33">IFERROR(_xlfn.XLOOKUP(B33,#REF!,#REF!,""),"")</f>
        <v/>
      </c>
      <c r="G33" s="8" t="str">
        <f t="array" ref="G33">IFERROR(_xlfn.XLOOKUP(B33,#REF!,#REF!,""),"")</f>
        <v/>
      </c>
      <c r="H33" s="8" t="str">
        <f t="array" ref="H33">IFERROR(_xlfn.XLOOKUP(B33,#REF!,#REF!,""),"")</f>
        <v/>
      </c>
      <c r="I33" s="3"/>
      <c r="J33" s="3"/>
    </row>
    <row r="34" spans="1:10" ht="15.75" customHeight="1" x14ac:dyDescent="0.3">
      <c r="A34" s="7">
        <v>30</v>
      </c>
      <c r="B34" s="7" t="s">
        <v>1310</v>
      </c>
      <c r="C34" s="7" t="s">
        <v>1311</v>
      </c>
      <c r="D34" s="7" t="s">
        <v>1312</v>
      </c>
      <c r="E34" s="7">
        <v>1</v>
      </c>
      <c r="F34" s="7" t="str">
        <f t="array" ref="F34">IFERROR(_xlfn.XLOOKUP(B34,#REF!,#REF!,""),"")</f>
        <v/>
      </c>
      <c r="G34" s="7" t="str">
        <f t="array" ref="G34">IFERROR(_xlfn.XLOOKUP(B34,#REF!,#REF!,""),"")</f>
        <v/>
      </c>
      <c r="H34" s="7" t="str">
        <f t="array" ref="H34">IFERROR(_xlfn.XLOOKUP(B34,#REF!,#REF!,""),"")</f>
        <v/>
      </c>
      <c r="I34" s="3"/>
      <c r="J34" s="3"/>
    </row>
    <row r="35" spans="1:10" ht="15.75" customHeight="1" x14ac:dyDescent="0.3">
      <c r="A35" s="8">
        <v>31</v>
      </c>
      <c r="B35" s="8" t="s">
        <v>1308</v>
      </c>
      <c r="C35" s="8" t="s">
        <v>373</v>
      </c>
      <c r="D35" s="8" t="s">
        <v>56</v>
      </c>
      <c r="E35" s="8">
        <v>1</v>
      </c>
      <c r="F35" s="8" t="str">
        <f t="array" ref="F35">IFERROR(_xlfn.XLOOKUP(B35,#REF!,#REF!,""),"")</f>
        <v/>
      </c>
      <c r="G35" s="8" t="str">
        <f t="array" ref="G35">IFERROR(_xlfn.XLOOKUP(B35,#REF!,#REF!,""),"")</f>
        <v/>
      </c>
      <c r="H35" s="8" t="str">
        <f t="array" ref="H35">IFERROR(_xlfn.XLOOKUP(B35,#REF!,#REF!,""),"")</f>
        <v/>
      </c>
      <c r="I35" s="3"/>
      <c r="J35" s="3"/>
    </row>
    <row r="36" spans="1:10" ht="15.75" customHeight="1" x14ac:dyDescent="0.3">
      <c r="A36" s="7">
        <v>32</v>
      </c>
      <c r="B36" s="7" t="s">
        <v>1306</v>
      </c>
      <c r="C36" s="7" t="s">
        <v>81</v>
      </c>
      <c r="D36" s="7" t="s">
        <v>82</v>
      </c>
      <c r="E36" s="7">
        <v>1</v>
      </c>
      <c r="F36" s="7" t="str">
        <f t="array" ref="F36">IFERROR(_xlfn.XLOOKUP(B36,#REF!,#REF!,""),"")</f>
        <v/>
      </c>
      <c r="G36" s="7" t="str">
        <f t="array" ref="G36">IFERROR(_xlfn.XLOOKUP(B36,#REF!,#REF!,""),"")</f>
        <v/>
      </c>
      <c r="H36" s="7" t="str">
        <f t="array" ref="H36">IFERROR(_xlfn.XLOOKUP(B36,#REF!,#REF!,""),"")</f>
        <v/>
      </c>
      <c r="I36" s="3"/>
      <c r="J36" s="3"/>
    </row>
    <row r="37" spans="1:10" ht="15.75" customHeight="1" x14ac:dyDescent="0.3">
      <c r="A37" s="8">
        <v>33</v>
      </c>
      <c r="B37" s="8" t="s">
        <v>1304</v>
      </c>
      <c r="C37" s="8" t="s">
        <v>102</v>
      </c>
      <c r="D37" s="8" t="s">
        <v>24</v>
      </c>
      <c r="E37" s="8">
        <v>1</v>
      </c>
      <c r="F37" s="8" t="str">
        <f t="array" ref="F37">IFERROR(_xlfn.XLOOKUP(B37,#REF!,#REF!,""),"")</f>
        <v/>
      </c>
      <c r="G37" s="8" t="str">
        <f t="array" ref="G37">IFERROR(_xlfn.XLOOKUP(B37,#REF!,#REF!,""),"")</f>
        <v/>
      </c>
      <c r="H37" s="8" t="str">
        <f t="array" ref="H37">IFERROR(_xlfn.XLOOKUP(B37,#REF!,#REF!,""),"")</f>
        <v/>
      </c>
      <c r="I37" s="3"/>
      <c r="J37" s="3"/>
    </row>
    <row r="38" spans="1:10" ht="15.75" customHeight="1" x14ac:dyDescent="0.3">
      <c r="A38" s="7">
        <v>34</v>
      </c>
      <c r="B38" s="7" t="s">
        <v>29</v>
      </c>
      <c r="C38" s="7" t="s">
        <v>31</v>
      </c>
      <c r="D38" s="7" t="s">
        <v>32</v>
      </c>
      <c r="E38" s="7">
        <v>8</v>
      </c>
      <c r="F38" s="7" t="str">
        <f t="array" ref="F38">IFERROR(_xlfn.XLOOKUP(B38,#REF!,#REF!,""),"")</f>
        <v/>
      </c>
      <c r="G38" s="7" t="str">
        <f t="array" ref="G38">IFERROR(_xlfn.XLOOKUP(B38,#REF!,#REF!,""),"")</f>
        <v/>
      </c>
      <c r="H38" s="7" t="str">
        <f t="array" ref="H38">IFERROR(_xlfn.XLOOKUP(B38,#REF!,#REF!,""),"")</f>
        <v/>
      </c>
      <c r="I38" s="3"/>
      <c r="J38" s="3"/>
    </row>
    <row r="39" spans="1:10" ht="15.75" customHeight="1" x14ac:dyDescent="0.3">
      <c r="A39" s="8">
        <v>35</v>
      </c>
      <c r="B39" s="8" t="s">
        <v>164</v>
      </c>
      <c r="C39" s="8" t="s">
        <v>31</v>
      </c>
      <c r="D39" s="8" t="s">
        <v>32</v>
      </c>
      <c r="E39" s="8">
        <v>4</v>
      </c>
      <c r="F39" s="8" t="str">
        <f t="array" ref="F39">IFERROR(_xlfn.XLOOKUP(B39,#REF!,#REF!,""),"")</f>
        <v/>
      </c>
      <c r="G39" s="8" t="str">
        <f t="array" ref="G39">IFERROR(_xlfn.XLOOKUP(B39,#REF!,#REF!,""),"")</f>
        <v/>
      </c>
      <c r="H39" s="8" t="str">
        <f t="array" ref="H39">IFERROR(_xlfn.XLOOKUP(B39,#REF!,#REF!,""),"")</f>
        <v/>
      </c>
      <c r="I39" s="3"/>
      <c r="J39" s="3"/>
    </row>
    <row r="40" spans="1:10" ht="15.75" customHeight="1" x14ac:dyDescent="0.3">
      <c r="A40" s="7">
        <v>36</v>
      </c>
      <c r="B40" s="7" t="s">
        <v>935</v>
      </c>
      <c r="C40" s="7" t="s">
        <v>31</v>
      </c>
      <c r="D40" s="7" t="s">
        <v>32</v>
      </c>
      <c r="E40" s="7">
        <v>2</v>
      </c>
      <c r="F40" s="7" t="str">
        <f t="array" ref="F40">IFERROR(_xlfn.XLOOKUP(B40,#REF!,#REF!,""),"")</f>
        <v/>
      </c>
      <c r="G40" s="7" t="str">
        <f t="array" ref="G40">IFERROR(_xlfn.XLOOKUP(B40,#REF!,#REF!,""),"")</f>
        <v/>
      </c>
      <c r="H40" s="7" t="str">
        <f t="array" ref="H40">IFERROR(_xlfn.XLOOKUP(B40,#REF!,#REF!,""),"")</f>
        <v/>
      </c>
      <c r="I40" s="3"/>
      <c r="J40" s="3"/>
    </row>
    <row r="41" spans="1:10" ht="15.75" customHeight="1" x14ac:dyDescent="0.3">
      <c r="A41" s="8">
        <v>37</v>
      </c>
      <c r="B41" s="8" t="s">
        <v>157</v>
      </c>
      <c r="C41" s="8" t="s">
        <v>31</v>
      </c>
      <c r="D41" s="8" t="s">
        <v>32</v>
      </c>
      <c r="E41" s="8">
        <v>1</v>
      </c>
      <c r="F41" s="8" t="str">
        <f t="array" ref="F41">IFERROR(_xlfn.XLOOKUP(B41,#REF!,#REF!,""),"")</f>
        <v/>
      </c>
      <c r="G41" s="8" t="str">
        <f t="array" ref="G41">IFERROR(_xlfn.XLOOKUP(B41,#REF!,#REF!,""),"")</f>
        <v/>
      </c>
      <c r="H41" s="8" t="str">
        <f t="array" ref="H41">IFERROR(_xlfn.XLOOKUP(B41,#REF!,#REF!,""),"")</f>
        <v/>
      </c>
      <c r="I41" s="3"/>
      <c r="J41" s="3"/>
    </row>
    <row r="42" spans="1:10" ht="15.75" customHeight="1" x14ac:dyDescent="0.3">
      <c r="A42" s="7">
        <v>38</v>
      </c>
      <c r="B42" s="7" t="s">
        <v>1224</v>
      </c>
      <c r="C42" s="7" t="s">
        <v>328</v>
      </c>
      <c r="D42" s="7" t="s">
        <v>329</v>
      </c>
      <c r="E42" s="7">
        <v>1</v>
      </c>
      <c r="F42" s="7" t="str">
        <f t="array" ref="F42">IFERROR(_xlfn.XLOOKUP(B42,#REF!,#REF!,""),"")</f>
        <v/>
      </c>
      <c r="G42" s="7" t="str">
        <f t="array" ref="G42">IFERROR(_xlfn.XLOOKUP(B42,#REF!,#REF!,""),"")</f>
        <v/>
      </c>
      <c r="H42" s="7" t="str">
        <f t="array" ref="H42">IFERROR(_xlfn.XLOOKUP(B42,#REF!,#REF!,""),"")</f>
        <v/>
      </c>
      <c r="I42" s="3"/>
      <c r="J42" s="3"/>
    </row>
    <row r="43" spans="1:10" ht="15.75" customHeight="1" x14ac:dyDescent="0.3">
      <c r="A43" s="8">
        <v>39</v>
      </c>
      <c r="B43" s="8" t="s">
        <v>1222</v>
      </c>
      <c r="C43" s="8" t="s">
        <v>328</v>
      </c>
      <c r="D43" s="8" t="s">
        <v>329</v>
      </c>
      <c r="E43" s="8">
        <v>1</v>
      </c>
      <c r="F43" s="8" t="str">
        <f t="array" ref="F43">IFERROR(_xlfn.XLOOKUP(B43,#REF!,#REF!,""),"")</f>
        <v/>
      </c>
      <c r="G43" s="8" t="str">
        <f t="array" ref="G43">IFERROR(_xlfn.XLOOKUP(B43,#REF!,#REF!,""),"")</f>
        <v/>
      </c>
      <c r="H43" s="8" t="str">
        <f t="array" ref="H43">IFERROR(_xlfn.XLOOKUP(B43,#REF!,#REF!,""),"")</f>
        <v/>
      </c>
      <c r="I43" s="3"/>
      <c r="J43" s="3"/>
    </row>
    <row r="44" spans="1:10" ht="15.75" customHeight="1" x14ac:dyDescent="0.3">
      <c r="A44" s="7">
        <v>40</v>
      </c>
      <c r="B44" s="7" t="s">
        <v>525</v>
      </c>
      <c r="C44" s="7" t="s">
        <v>328</v>
      </c>
      <c r="D44" s="7" t="s">
        <v>329</v>
      </c>
      <c r="E44" s="7">
        <v>1</v>
      </c>
      <c r="F44" s="7" t="str">
        <f t="array" ref="F44">IFERROR(_xlfn.XLOOKUP(B44,#REF!,#REF!,""),"")</f>
        <v/>
      </c>
      <c r="G44" s="7" t="str">
        <f t="array" ref="G44">IFERROR(_xlfn.XLOOKUP(B44,#REF!,#REF!,""),"")</f>
        <v/>
      </c>
      <c r="H44" s="7" t="str">
        <f t="array" ref="H44">IFERROR(_xlfn.XLOOKUP(B44,#REF!,#REF!,""),"")</f>
        <v/>
      </c>
      <c r="I44" s="3"/>
      <c r="J44" s="3"/>
    </row>
    <row r="45" spans="1:10" ht="15.75" customHeight="1" x14ac:dyDescent="0.3">
      <c r="A45" s="8">
        <v>41</v>
      </c>
      <c r="B45" s="8" t="s">
        <v>1076</v>
      </c>
      <c r="C45" s="8" t="s">
        <v>328</v>
      </c>
      <c r="D45" s="8" t="s">
        <v>329</v>
      </c>
      <c r="E45" s="8">
        <v>2</v>
      </c>
      <c r="F45" s="8" t="str">
        <f t="array" ref="F45">IFERROR(_xlfn.XLOOKUP(B45,#REF!,#REF!,""),"")</f>
        <v/>
      </c>
      <c r="G45" s="8" t="str">
        <f t="array" ref="G45">IFERROR(_xlfn.XLOOKUP(B45,#REF!,#REF!,""),"")</f>
        <v/>
      </c>
      <c r="H45" s="8" t="str">
        <f t="array" ref="H45">IFERROR(_xlfn.XLOOKUP(B45,#REF!,#REF!,""),"")</f>
        <v/>
      </c>
      <c r="I45" s="3"/>
      <c r="J45" s="3"/>
    </row>
    <row r="46" spans="1:10" ht="15.75" customHeight="1" x14ac:dyDescent="0.3">
      <c r="A46" s="7">
        <v>42</v>
      </c>
      <c r="B46" s="7" t="s">
        <v>552</v>
      </c>
      <c r="C46" s="7" t="s">
        <v>328</v>
      </c>
      <c r="D46" s="7" t="s">
        <v>329</v>
      </c>
      <c r="E46" s="7">
        <v>2</v>
      </c>
      <c r="F46" s="7" t="str">
        <f t="array" ref="F46">IFERROR(_xlfn.XLOOKUP(B46,#REF!,#REF!,""),"")</f>
        <v/>
      </c>
      <c r="G46" s="7" t="str">
        <f t="array" ref="G46">IFERROR(_xlfn.XLOOKUP(B46,#REF!,#REF!,""),"")</f>
        <v/>
      </c>
      <c r="H46" s="7" t="str">
        <f t="array" ref="H46">IFERROR(_xlfn.XLOOKUP(B46,#REF!,#REF!,""),"")</f>
        <v/>
      </c>
      <c r="I46" s="3"/>
      <c r="J46" s="3"/>
    </row>
    <row r="47" spans="1:10" ht="15.75" customHeight="1" x14ac:dyDescent="0.3">
      <c r="A47" s="8">
        <v>43</v>
      </c>
      <c r="B47" s="8" t="s">
        <v>721</v>
      </c>
      <c r="C47" s="8" t="s">
        <v>21</v>
      </c>
      <c r="D47" s="8" t="s">
        <v>23</v>
      </c>
      <c r="E47" s="8">
        <v>2</v>
      </c>
      <c r="F47" s="8" t="str">
        <f t="array" ref="F47">IFERROR(_xlfn.XLOOKUP(B47,#REF!,#REF!,""),"")</f>
        <v/>
      </c>
      <c r="G47" s="8" t="str">
        <f t="array" ref="G47">IFERROR(_xlfn.XLOOKUP(B47,#REF!,#REF!,""),"")</f>
        <v/>
      </c>
      <c r="H47" s="8" t="str">
        <f t="array" ref="H47">IFERROR(_xlfn.XLOOKUP(B47,#REF!,#REF!,""),"")</f>
        <v/>
      </c>
      <c r="I47" s="3"/>
      <c r="J47" s="3"/>
    </row>
    <row r="48" spans="1:10" ht="15.75" customHeight="1" x14ac:dyDescent="0.3">
      <c r="A48" s="7">
        <v>44</v>
      </c>
      <c r="B48" s="7" t="s">
        <v>334</v>
      </c>
      <c r="C48" s="7" t="s">
        <v>21</v>
      </c>
      <c r="D48" s="7" t="s">
        <v>23</v>
      </c>
      <c r="E48" s="7">
        <v>2</v>
      </c>
      <c r="F48" s="7" t="str">
        <f t="array" ref="F48">IFERROR(_xlfn.XLOOKUP(B48,#REF!,#REF!,""),"")</f>
        <v/>
      </c>
      <c r="G48" s="7" t="str">
        <f t="array" ref="G48">IFERROR(_xlfn.XLOOKUP(B48,#REF!,#REF!,""),"")</f>
        <v/>
      </c>
      <c r="H48" s="7" t="str">
        <f t="array" ref="H48">IFERROR(_xlfn.XLOOKUP(B48,#REF!,#REF!,""),"")</f>
        <v/>
      </c>
      <c r="I48" s="3"/>
      <c r="J48" s="3"/>
    </row>
    <row r="49" spans="1:10" ht="15.75" customHeight="1" x14ac:dyDescent="0.3">
      <c r="A49" s="8">
        <v>45</v>
      </c>
      <c r="B49" s="8" t="s">
        <v>1294</v>
      </c>
      <c r="C49" s="8" t="s">
        <v>21</v>
      </c>
      <c r="D49" s="8" t="s">
        <v>23</v>
      </c>
      <c r="E49" s="8">
        <v>2</v>
      </c>
      <c r="F49" s="8" t="str">
        <f t="array" ref="F49">IFERROR(_xlfn.XLOOKUP(B49,#REF!,#REF!,""),"")</f>
        <v/>
      </c>
      <c r="G49" s="8" t="str">
        <f t="array" ref="G49">IFERROR(_xlfn.XLOOKUP(B49,#REF!,#REF!,""),"")</f>
        <v/>
      </c>
      <c r="H49" s="8" t="str">
        <f t="array" ref="H49">IFERROR(_xlfn.XLOOKUP(B49,#REF!,#REF!,""),"")</f>
        <v/>
      </c>
      <c r="I49" s="3"/>
      <c r="J49" s="3"/>
    </row>
    <row r="50" spans="1:10" ht="15.75" customHeight="1" x14ac:dyDescent="0.3">
      <c r="A50" s="7">
        <v>46</v>
      </c>
      <c r="B50" s="7" t="s">
        <v>301</v>
      </c>
      <c r="C50" s="7" t="s">
        <v>21</v>
      </c>
      <c r="D50" s="7" t="s">
        <v>23</v>
      </c>
      <c r="E50" s="7">
        <v>2</v>
      </c>
      <c r="F50" s="7" t="str">
        <f t="array" ref="F50">IFERROR(_xlfn.XLOOKUP(B50,#REF!,#REF!,""),"")</f>
        <v/>
      </c>
      <c r="G50" s="7" t="str">
        <f t="array" ref="G50">IFERROR(_xlfn.XLOOKUP(B50,#REF!,#REF!,""),"")</f>
        <v/>
      </c>
      <c r="H50" s="7" t="str">
        <f t="array" ref="H50">IFERROR(_xlfn.XLOOKUP(B50,#REF!,#REF!,""),"")</f>
        <v/>
      </c>
      <c r="I50" s="3"/>
      <c r="J50" s="3"/>
    </row>
    <row r="51" spans="1:10" ht="15.75" customHeight="1" x14ac:dyDescent="0.3">
      <c r="A51" s="8">
        <v>47</v>
      </c>
      <c r="B51" s="8" t="s">
        <v>68</v>
      </c>
      <c r="C51" s="8" t="s">
        <v>21</v>
      </c>
      <c r="D51" s="8" t="s">
        <v>23</v>
      </c>
      <c r="E51" s="8">
        <v>2</v>
      </c>
      <c r="F51" s="8" t="str">
        <f t="array" ref="F51">IFERROR(_xlfn.XLOOKUP(B51,#REF!,#REF!,""),"")</f>
        <v/>
      </c>
      <c r="G51" s="8" t="str">
        <f t="array" ref="G51">IFERROR(_xlfn.XLOOKUP(B51,#REF!,#REF!,""),"")</f>
        <v/>
      </c>
      <c r="H51" s="8" t="str">
        <f t="array" ref="H51">IFERROR(_xlfn.XLOOKUP(B51,#REF!,#REF!,""),"")</f>
        <v/>
      </c>
      <c r="I51" s="3"/>
      <c r="J51" s="3"/>
    </row>
    <row r="52" spans="1:10" ht="15.75" customHeight="1" x14ac:dyDescent="0.3">
      <c r="A52" s="7">
        <v>48</v>
      </c>
      <c r="B52" s="7" t="s">
        <v>61</v>
      </c>
      <c r="C52" s="7" t="s">
        <v>21</v>
      </c>
      <c r="D52" s="7" t="s">
        <v>23</v>
      </c>
      <c r="E52" s="7">
        <v>3</v>
      </c>
      <c r="F52" s="7" t="str">
        <f t="array" ref="F52">IFERROR(_xlfn.XLOOKUP(B52,#REF!,#REF!,""),"")</f>
        <v/>
      </c>
      <c r="G52" s="7" t="str">
        <f t="array" ref="G52">IFERROR(_xlfn.XLOOKUP(B52,#REF!,#REF!,""),"")</f>
        <v/>
      </c>
      <c r="H52" s="7" t="str">
        <f t="array" ref="H52">IFERROR(_xlfn.XLOOKUP(B52,#REF!,#REF!,""),"")</f>
        <v/>
      </c>
      <c r="I52" s="3"/>
      <c r="J52" s="3"/>
    </row>
    <row r="53" spans="1:10" ht="15.75" customHeight="1" x14ac:dyDescent="0.3">
      <c r="A53" s="8">
        <v>49</v>
      </c>
      <c r="B53" s="8" t="s">
        <v>501</v>
      </c>
      <c r="C53" s="8" t="s">
        <v>21</v>
      </c>
      <c r="D53" s="8" t="s">
        <v>23</v>
      </c>
      <c r="E53" s="8">
        <v>2</v>
      </c>
      <c r="F53" s="8" t="str">
        <f t="array" ref="F53">IFERROR(_xlfn.XLOOKUP(B53,#REF!,#REF!,""),"")</f>
        <v/>
      </c>
      <c r="G53" s="8" t="str">
        <f t="array" ref="G53">IFERROR(_xlfn.XLOOKUP(B53,#REF!,#REF!,""),"")</f>
        <v/>
      </c>
      <c r="H53" s="8" t="str">
        <f t="array" ref="H53">IFERROR(_xlfn.XLOOKUP(B53,#REF!,#REF!,""),"")</f>
        <v/>
      </c>
      <c r="I53" s="3"/>
      <c r="J53" s="3"/>
    </row>
    <row r="54" spans="1:10" ht="15.75" customHeight="1" x14ac:dyDescent="0.3">
      <c r="A54" s="7">
        <v>50</v>
      </c>
      <c r="B54" s="7" t="s">
        <v>632</v>
      </c>
      <c r="C54" s="7" t="s">
        <v>21</v>
      </c>
      <c r="D54" s="7" t="s">
        <v>23</v>
      </c>
      <c r="E54" s="7">
        <v>3</v>
      </c>
      <c r="F54" s="7" t="str">
        <f t="array" ref="F54">IFERROR(_xlfn.XLOOKUP(B54,#REF!,#REF!,""),"")</f>
        <v/>
      </c>
      <c r="G54" s="7" t="str">
        <f t="array" ref="G54">IFERROR(_xlfn.XLOOKUP(B54,#REF!,#REF!,""),"")</f>
        <v/>
      </c>
      <c r="H54" s="7" t="str">
        <f t="array" ref="H54">IFERROR(_xlfn.XLOOKUP(B54,#REF!,#REF!,""),"")</f>
        <v/>
      </c>
      <c r="I54" s="3"/>
      <c r="J54" s="3"/>
    </row>
    <row r="55" spans="1:10" ht="15.75" customHeight="1" x14ac:dyDescent="0.3">
      <c r="A55" s="8">
        <v>51</v>
      </c>
      <c r="B55" s="8" t="s">
        <v>46</v>
      </c>
      <c r="C55" s="8" t="s">
        <v>21</v>
      </c>
      <c r="D55" s="8" t="s">
        <v>23</v>
      </c>
      <c r="E55" s="8">
        <v>1</v>
      </c>
      <c r="F55" s="8" t="str">
        <f t="array" ref="F55">IFERROR(_xlfn.XLOOKUP(B55,#REF!,#REF!,""),"")</f>
        <v/>
      </c>
      <c r="G55" s="8" t="str">
        <f t="array" ref="G55">IFERROR(_xlfn.XLOOKUP(B55,#REF!,#REF!,""),"")</f>
        <v/>
      </c>
      <c r="H55" s="8" t="str">
        <f t="array" ref="H55">IFERROR(_xlfn.XLOOKUP(B55,#REF!,#REF!,""),"")</f>
        <v/>
      </c>
      <c r="I55" s="3"/>
      <c r="J55" s="3"/>
    </row>
    <row r="56" spans="1:10" ht="15.75" customHeight="1" x14ac:dyDescent="0.3">
      <c r="A56" s="7">
        <v>52</v>
      </c>
      <c r="B56" s="7" t="s">
        <v>40</v>
      </c>
      <c r="C56" s="7" t="s">
        <v>21</v>
      </c>
      <c r="D56" s="7" t="s">
        <v>23</v>
      </c>
      <c r="E56" s="7">
        <v>1</v>
      </c>
      <c r="F56" s="7" t="str">
        <f t="array" ref="F56">IFERROR(_xlfn.XLOOKUP(B56,#REF!,#REF!,""),"")</f>
        <v/>
      </c>
      <c r="G56" s="7" t="str">
        <f t="array" ref="G56">IFERROR(_xlfn.XLOOKUP(B56,#REF!,#REF!,""),"")</f>
        <v/>
      </c>
      <c r="H56" s="7" t="str">
        <f t="array" ref="H56">IFERROR(_xlfn.XLOOKUP(B56,#REF!,#REF!,""),"")</f>
        <v/>
      </c>
      <c r="I56" s="3"/>
      <c r="J56" s="3"/>
    </row>
    <row r="57" spans="1:10" ht="15.75" customHeight="1" x14ac:dyDescent="0.3">
      <c r="A57" s="8">
        <v>53</v>
      </c>
      <c r="B57" s="8" t="s">
        <v>992</v>
      </c>
      <c r="C57" s="8" t="s">
        <v>17</v>
      </c>
      <c r="D57" s="8" t="s">
        <v>18</v>
      </c>
      <c r="E57" s="8">
        <v>2</v>
      </c>
      <c r="F57" s="8" t="str">
        <f t="array" ref="F57">IFERROR(_xlfn.XLOOKUP(B57,#REF!,#REF!,""),"")</f>
        <v/>
      </c>
      <c r="G57" s="8" t="str">
        <f t="array" ref="G57">IFERROR(_xlfn.XLOOKUP(B57,#REF!,#REF!,""),"")</f>
        <v/>
      </c>
      <c r="H57" s="8" t="str">
        <f t="array" ref="H57">IFERROR(_xlfn.XLOOKUP(B57,#REF!,#REF!,""),"")</f>
        <v/>
      </c>
      <c r="I57" s="3"/>
      <c r="J57" s="3"/>
    </row>
    <row r="58" spans="1:10" ht="15.75" customHeight="1" x14ac:dyDescent="0.3">
      <c r="A58" s="7">
        <v>54</v>
      </c>
      <c r="B58" s="7" t="s">
        <v>1185</v>
      </c>
      <c r="C58" s="7" t="s">
        <v>17</v>
      </c>
      <c r="D58" s="7" t="s">
        <v>18</v>
      </c>
      <c r="E58" s="7">
        <v>4</v>
      </c>
      <c r="F58" s="7" t="str">
        <f t="array" ref="F58">IFERROR(_xlfn.XLOOKUP(B58,#REF!,#REF!,""),"")</f>
        <v/>
      </c>
      <c r="G58" s="7" t="str">
        <f t="array" ref="G58">IFERROR(_xlfn.XLOOKUP(B58,#REF!,#REF!,""),"")</f>
        <v/>
      </c>
      <c r="H58" s="7" t="str">
        <f t="array" ref="H58">IFERROR(_xlfn.XLOOKUP(B58,#REF!,#REF!,""),"")</f>
        <v/>
      </c>
      <c r="I58" s="3"/>
      <c r="J58" s="3"/>
    </row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58" xr:uid="{00000000-0009-0000-0000-000044000000}">
    <sortState xmlns:xlrd2="http://schemas.microsoft.com/office/spreadsheetml/2017/richdata2" ref="A5:H58">
      <sortCondition ref="A4:A58"/>
    </sortState>
  </autoFilter>
  <mergeCells count="2">
    <mergeCell ref="A1:H1"/>
    <mergeCell ref="A2:H2"/>
  </mergeCells>
  <conditionalFormatting sqref="G5:G58">
    <cfRule type="expression" dxfId="11" priority="1">
      <formula>G5="OUT OF STOCK"</formula>
    </cfRule>
    <cfRule type="expression" dxfId="10" priority="2">
      <formula>G5="REORDER"</formula>
    </cfRule>
    <cfRule type="expression" dxfId="9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A4" sqref="A4:XFD5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27.65" customHeight="1" x14ac:dyDescent="0.3">
      <c r="A1" s="24" t="s">
        <v>260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261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8">
        <v>1</v>
      </c>
      <c r="B5" s="8" t="s">
        <v>1301</v>
      </c>
      <c r="C5" s="8" t="s">
        <v>1302</v>
      </c>
      <c r="D5" s="8" t="s">
        <v>1303</v>
      </c>
      <c r="E5" s="8">
        <v>1</v>
      </c>
      <c r="F5" s="8" t="str">
        <f t="array" ref="F5">IFERROR(_xlfn.XLOOKUP(B5,#REF!,#REF!,""),"")</f>
        <v/>
      </c>
      <c r="G5" s="8" t="str">
        <f t="array" ref="G5">IFERROR(_xlfn.XLOOKUP(B5,#REF!,#REF!,""),"")</f>
        <v/>
      </c>
      <c r="H5" s="8" t="str">
        <f t="array" ref="H5">IFERROR(_xlfn.XLOOKUP(B5,#REF!,#REF!,""),"")</f>
        <v/>
      </c>
      <c r="I5" s="3"/>
      <c r="J5" s="3"/>
    </row>
    <row r="6" spans="1:10" ht="14" x14ac:dyDescent="0.3">
      <c r="A6" s="7">
        <v>2</v>
      </c>
      <c r="B6" s="7" t="s">
        <v>1300</v>
      </c>
      <c r="C6" s="7" t="s">
        <v>680</v>
      </c>
      <c r="D6" s="7" t="s">
        <v>681</v>
      </c>
      <c r="E6" s="7">
        <v>1</v>
      </c>
      <c r="F6" s="7" t="str">
        <f t="array" ref="F6">IFERROR(_xlfn.XLOOKUP(B6,#REF!,#REF!,""),"")</f>
        <v/>
      </c>
      <c r="G6" s="7" t="str">
        <f t="array" ref="G6">IFERROR(_xlfn.XLOOKUP(B6,#REF!,#REF!,""),"")</f>
        <v/>
      </c>
      <c r="H6" s="7" t="str">
        <f t="array" ref="H6">IFERROR(_xlfn.XLOOKUP(B6,#REF!,#REF!,""),"")</f>
        <v/>
      </c>
      <c r="I6" s="3"/>
      <c r="J6" s="3"/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6" xr:uid="{00000000-0009-0000-0000-000045000000}">
    <sortState xmlns:xlrd2="http://schemas.microsoft.com/office/spreadsheetml/2017/richdata2" ref="A5:H6">
      <sortCondition ref="A4:A6"/>
    </sortState>
  </autoFilter>
  <mergeCells count="2">
    <mergeCell ref="A1:H1"/>
    <mergeCell ref="A2:H2"/>
  </mergeCells>
  <conditionalFormatting sqref="G5:G6">
    <cfRule type="expression" dxfId="8" priority="1">
      <formula>G5="OUT OF STOCK"</formula>
    </cfRule>
    <cfRule type="expression" dxfId="7" priority="2">
      <formula>G5="REORDER"</formula>
    </cfRule>
    <cfRule type="expression" dxfId="6" priority="3">
      <formula>G5="OK"</formula>
    </cfRule>
  </conditionalFormatting>
  <pageMargins left="0.25" right="0.25" top="0.4" bottom="0.4" header="0" footer="0"/>
  <pageSetup fitToHeight="0"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J998"/>
  <sheetViews>
    <sheetView showGridLines="0" workbookViewId="0">
      <pane ySplit="4" topLeftCell="A5" activePane="bottomLeft" state="frozen"/>
      <selection pane="bottomLeft" activeCell="F7" sqref="F7"/>
    </sheetView>
  </sheetViews>
  <sheetFormatPr defaultColWidth="14.453125" defaultRowHeight="15" customHeight="1" x14ac:dyDescent="0.3"/>
  <cols>
    <col min="1" max="1" width="12" style="9" customWidth="1"/>
    <col min="2" max="2" width="22" style="9" customWidth="1"/>
    <col min="3" max="3" width="28" style="9" customWidth="1"/>
    <col min="4" max="4" width="34" style="9" customWidth="1"/>
    <col min="5" max="5" width="12" style="9" customWidth="1"/>
    <col min="6" max="7" width="16" style="9" customWidth="1"/>
    <col min="8" max="8" width="15" style="9" customWidth="1"/>
    <col min="9" max="26" width="8.6328125" style="9" customWidth="1"/>
    <col min="27" max="16384" width="14.453125" style="9"/>
  </cols>
  <sheetData>
    <row r="1" spans="1:10" ht="40.75" customHeight="1" x14ac:dyDescent="0.3">
      <c r="A1" s="24" t="s">
        <v>263</v>
      </c>
      <c r="B1" s="25"/>
      <c r="C1" s="25"/>
      <c r="D1" s="25"/>
      <c r="E1" s="25"/>
      <c r="F1" s="25"/>
      <c r="G1" s="25"/>
      <c r="H1" s="26"/>
      <c r="I1" s="3"/>
      <c r="J1" s="4"/>
    </row>
    <row r="2" spans="1:10" ht="14" x14ac:dyDescent="0.3">
      <c r="A2" s="27" t="s">
        <v>264</v>
      </c>
      <c r="B2" s="28"/>
      <c r="C2" s="28"/>
      <c r="D2" s="28"/>
      <c r="E2" s="28"/>
      <c r="F2" s="28"/>
      <c r="G2" s="28"/>
      <c r="H2" s="28"/>
      <c r="I2" s="3"/>
      <c r="J2" s="3"/>
    </row>
    <row r="3" spans="1:10" ht="14" x14ac:dyDescent="0.3">
      <c r="A3" s="3"/>
      <c r="B3" s="3"/>
    </row>
    <row r="4" spans="1:10" ht="14" x14ac:dyDescent="0.3">
      <c r="A4" s="6" t="s">
        <v>12</v>
      </c>
      <c r="B4" s="6" t="s">
        <v>5</v>
      </c>
      <c r="C4" s="6" t="s">
        <v>9</v>
      </c>
      <c r="D4" s="6" t="s">
        <v>10</v>
      </c>
      <c r="E4" s="6" t="s">
        <v>15</v>
      </c>
      <c r="F4" s="6" t="s">
        <v>11</v>
      </c>
      <c r="G4" s="6" t="s">
        <v>14</v>
      </c>
      <c r="H4" s="6" t="s">
        <v>13</v>
      </c>
      <c r="I4" s="3"/>
      <c r="J4" s="3"/>
    </row>
    <row r="5" spans="1:10" ht="14" x14ac:dyDescent="0.3">
      <c r="A5" s="7">
        <v>1</v>
      </c>
      <c r="B5" s="7" t="s">
        <v>427</v>
      </c>
      <c r="C5" s="7" t="s">
        <v>81</v>
      </c>
      <c r="D5" s="7" t="s">
        <v>82</v>
      </c>
      <c r="E5" s="7">
        <v>8</v>
      </c>
      <c r="F5" s="7" t="str">
        <f t="array" ref="F5">IFERROR(_xlfn.XLOOKUP(B5,#REF!,#REF!,""),"")</f>
        <v/>
      </c>
      <c r="G5" s="7" t="str">
        <f t="array" ref="G5">IFERROR(_xlfn.XLOOKUP(B5,#REF!,#REF!,""),"")</f>
        <v/>
      </c>
      <c r="H5" s="7" t="str">
        <f t="array" ref="H5">IFERROR(_xlfn.XLOOKUP(B5,#REF!,#REF!,""),"")</f>
        <v/>
      </c>
      <c r="I5" s="3"/>
      <c r="J5" s="3"/>
    </row>
    <row r="6" spans="1:10" ht="14" x14ac:dyDescent="0.3">
      <c r="A6" s="8">
        <v>2</v>
      </c>
      <c r="B6" s="8" t="s">
        <v>428</v>
      </c>
      <c r="C6" s="8" t="s">
        <v>81</v>
      </c>
      <c r="D6" s="8" t="s">
        <v>82</v>
      </c>
      <c r="E6" s="8">
        <v>1</v>
      </c>
      <c r="F6" s="8" t="str">
        <f t="array" ref="F6">IFERROR(_xlfn.XLOOKUP(B6,#REF!,#REF!,""),"")</f>
        <v/>
      </c>
      <c r="G6" s="8" t="str">
        <f t="array" ref="G6">IFERROR(_xlfn.XLOOKUP(B6,#REF!,#REF!,""),"")</f>
        <v/>
      </c>
      <c r="H6" s="8" t="str">
        <f t="array" ref="H6">IFERROR(_xlfn.XLOOKUP(B6,#REF!,#REF!,""),"")</f>
        <v/>
      </c>
      <c r="I6" s="3"/>
      <c r="J6" s="3"/>
    </row>
    <row r="7" spans="1:10" ht="28" x14ac:dyDescent="0.3">
      <c r="A7" s="7">
        <v>3</v>
      </c>
      <c r="B7" s="7" t="s">
        <v>1241</v>
      </c>
      <c r="C7" s="7" t="s">
        <v>1242</v>
      </c>
      <c r="D7" s="7" t="s">
        <v>1243</v>
      </c>
      <c r="E7" s="7">
        <v>1</v>
      </c>
      <c r="F7" s="7" t="str">
        <f t="array" ref="F7">IFERROR(_xlfn.XLOOKUP(B7,#REF!,#REF!,""),"")</f>
        <v/>
      </c>
      <c r="G7" s="7" t="str">
        <f t="array" ref="G7">IFERROR(_xlfn.XLOOKUP(B7,#REF!,#REF!,""),"")</f>
        <v/>
      </c>
      <c r="H7" s="7" t="str">
        <f t="array" ref="H7">IFERROR(_xlfn.XLOOKUP(B7,#REF!,#REF!,""),"")</f>
        <v/>
      </c>
      <c r="I7" s="3"/>
      <c r="J7" s="3"/>
    </row>
    <row r="8" spans="1:10" ht="14" x14ac:dyDescent="0.3">
      <c r="A8" s="8">
        <v>4</v>
      </c>
      <c r="B8" s="8" t="s">
        <v>1298</v>
      </c>
      <c r="C8" s="8" t="s">
        <v>953</v>
      </c>
      <c r="D8" s="8" t="s">
        <v>954</v>
      </c>
      <c r="E8" s="8">
        <v>1</v>
      </c>
      <c r="F8" s="8" t="str">
        <f t="array" ref="F8">IFERROR(_xlfn.XLOOKUP(B8,#REF!,#REF!,""),"")</f>
        <v/>
      </c>
      <c r="G8" s="8" t="str">
        <f t="array" ref="G8">IFERROR(_xlfn.XLOOKUP(B8,#REF!,#REF!,""),"")</f>
        <v/>
      </c>
      <c r="H8" s="8" t="str">
        <f t="array" ref="H8">IFERROR(_xlfn.XLOOKUP(B8,#REF!,#REF!,""),"")</f>
        <v/>
      </c>
      <c r="I8" s="3"/>
      <c r="J8" s="3"/>
    </row>
    <row r="9" spans="1:10" ht="14" x14ac:dyDescent="0.3">
      <c r="A9" s="7">
        <v>5</v>
      </c>
      <c r="B9" s="7" t="s">
        <v>1337</v>
      </c>
      <c r="C9" s="7" t="s">
        <v>469</v>
      </c>
      <c r="D9" s="7" t="s">
        <v>470</v>
      </c>
      <c r="E9" s="7">
        <v>5</v>
      </c>
      <c r="F9" s="7" t="str">
        <f t="array" ref="F9">IFERROR(_xlfn.XLOOKUP(B9,#REF!,#REF!,""),"")</f>
        <v/>
      </c>
      <c r="G9" s="7" t="str">
        <f t="array" ref="G9">IFERROR(_xlfn.XLOOKUP(B9,#REF!,#REF!,""),"")</f>
        <v/>
      </c>
      <c r="H9" s="7" t="str">
        <f t="array" ref="H9">IFERROR(_xlfn.XLOOKUP(B9,#REF!,#REF!,""),"")</f>
        <v/>
      </c>
      <c r="I9" s="3"/>
      <c r="J9" s="3"/>
    </row>
    <row r="10" spans="1:10" ht="14" x14ac:dyDescent="0.3">
      <c r="A10" s="8">
        <v>6</v>
      </c>
      <c r="B10" s="8" t="s">
        <v>184</v>
      </c>
      <c r="C10" s="8" t="s">
        <v>31</v>
      </c>
      <c r="D10" s="8" t="s">
        <v>32</v>
      </c>
      <c r="E10" s="8">
        <v>4</v>
      </c>
      <c r="F10" s="8" t="str">
        <f t="array" ref="F10">IFERROR(_xlfn.XLOOKUP(B10,#REF!,#REF!,""),"")</f>
        <v/>
      </c>
      <c r="G10" s="8" t="str">
        <f t="array" ref="G10">IFERROR(_xlfn.XLOOKUP(B10,#REF!,#REF!,""),"")</f>
        <v/>
      </c>
      <c r="H10" s="8" t="str">
        <f t="array" ref="H10">IFERROR(_xlfn.XLOOKUP(B10,#REF!,#REF!,""),"")</f>
        <v/>
      </c>
      <c r="I10" s="3"/>
      <c r="J10" s="3"/>
    </row>
    <row r="11" spans="1:10" ht="14" x14ac:dyDescent="0.3">
      <c r="A11" s="7">
        <v>7</v>
      </c>
      <c r="B11" s="7" t="s">
        <v>1198</v>
      </c>
      <c r="C11" s="7" t="s">
        <v>1107</v>
      </c>
      <c r="D11" s="7" t="s">
        <v>1108</v>
      </c>
      <c r="E11" s="7">
        <v>41</v>
      </c>
      <c r="F11" s="7" t="str">
        <f t="array" ref="F11">IFERROR(_xlfn.XLOOKUP(B11,#REF!,#REF!,""),"")</f>
        <v/>
      </c>
      <c r="G11" s="7" t="str">
        <f t="array" ref="G11">IFERROR(_xlfn.XLOOKUP(B11,#REF!,#REF!,""),"")</f>
        <v/>
      </c>
      <c r="H11" s="7" t="str">
        <f t="array" ref="H11">IFERROR(_xlfn.XLOOKUP(B11,#REF!,#REF!,""),"")</f>
        <v/>
      </c>
      <c r="I11" s="3"/>
      <c r="J11" s="3"/>
    </row>
    <row r="12" spans="1:10" ht="14" x14ac:dyDescent="0.3">
      <c r="A12" s="8">
        <v>8</v>
      </c>
      <c r="B12" s="8" t="s">
        <v>1336</v>
      </c>
      <c r="C12" s="8" t="s">
        <v>328</v>
      </c>
      <c r="D12" s="8" t="s">
        <v>456</v>
      </c>
      <c r="E12" s="8">
        <v>6</v>
      </c>
      <c r="F12" s="8" t="str">
        <f t="array" ref="F12">IFERROR(_xlfn.XLOOKUP(B12,#REF!,#REF!,""),"")</f>
        <v/>
      </c>
      <c r="G12" s="8" t="str">
        <f t="array" ref="G12">IFERROR(_xlfn.XLOOKUP(B12,#REF!,#REF!,""),"")</f>
        <v/>
      </c>
      <c r="H12" s="8" t="str">
        <f t="array" ref="H12">IFERROR(_xlfn.XLOOKUP(B12,#REF!,#REF!,""),"")</f>
        <v/>
      </c>
      <c r="I12" s="3"/>
      <c r="J12" s="3"/>
    </row>
    <row r="13" spans="1:10" ht="14" x14ac:dyDescent="0.3">
      <c r="A13" s="7">
        <v>9</v>
      </c>
      <c r="B13" s="7" t="s">
        <v>1335</v>
      </c>
      <c r="C13" s="7" t="s">
        <v>433</v>
      </c>
      <c r="D13" s="7" t="s">
        <v>434</v>
      </c>
      <c r="E13" s="7">
        <v>9</v>
      </c>
      <c r="F13" s="7" t="str">
        <f t="array" ref="F13">IFERROR(_xlfn.XLOOKUP(B13,#REF!,#REF!,""),"")</f>
        <v/>
      </c>
      <c r="G13" s="7" t="str">
        <f t="array" ref="G13">IFERROR(_xlfn.XLOOKUP(B13,#REF!,#REF!,""),"")</f>
        <v/>
      </c>
      <c r="H13" s="7" t="str">
        <f t="array" ref="H13">IFERROR(_xlfn.XLOOKUP(B13,#REF!,#REF!,""),"")</f>
        <v/>
      </c>
      <c r="I13" s="3"/>
      <c r="J13" s="3"/>
    </row>
    <row r="14" spans="1:10" ht="14" x14ac:dyDescent="0.3">
      <c r="A14" s="8">
        <v>10</v>
      </c>
      <c r="B14" s="8" t="s">
        <v>29</v>
      </c>
      <c r="C14" s="8" t="s">
        <v>31</v>
      </c>
      <c r="D14" s="8" t="s">
        <v>32</v>
      </c>
      <c r="E14" s="8">
        <v>2</v>
      </c>
      <c r="F14" s="8" t="str">
        <f t="array" ref="F14">IFERROR(_xlfn.XLOOKUP(B14,#REF!,#REF!,""),"")</f>
        <v/>
      </c>
      <c r="G14" s="8" t="str">
        <f t="array" ref="G14">IFERROR(_xlfn.XLOOKUP(B14,#REF!,#REF!,""),"")</f>
        <v/>
      </c>
      <c r="H14" s="8" t="str">
        <f t="array" ref="H14">IFERROR(_xlfn.XLOOKUP(B14,#REF!,#REF!,""),"")</f>
        <v/>
      </c>
      <c r="I14" s="3"/>
      <c r="J14" s="3"/>
    </row>
    <row r="15" spans="1:10" ht="14" x14ac:dyDescent="0.3">
      <c r="A15" s="7">
        <v>11</v>
      </c>
      <c r="B15" s="7" t="s">
        <v>164</v>
      </c>
      <c r="C15" s="7" t="s">
        <v>31</v>
      </c>
      <c r="D15" s="7" t="s">
        <v>32</v>
      </c>
      <c r="E15" s="7">
        <v>2</v>
      </c>
      <c r="F15" s="7" t="str">
        <f t="array" ref="F15">IFERROR(_xlfn.XLOOKUP(B15,#REF!,#REF!,""),"")</f>
        <v/>
      </c>
      <c r="G15" s="7" t="str">
        <f t="array" ref="G15">IFERROR(_xlfn.XLOOKUP(B15,#REF!,#REF!,""),"")</f>
        <v/>
      </c>
      <c r="H15" s="7" t="str">
        <f t="array" ref="H15">IFERROR(_xlfn.XLOOKUP(B15,#REF!,#REF!,""),"")</f>
        <v/>
      </c>
      <c r="I15" s="3"/>
      <c r="J15" s="3"/>
    </row>
    <row r="16" spans="1:10" ht="14" x14ac:dyDescent="0.3">
      <c r="A16" s="8">
        <v>12</v>
      </c>
      <c r="B16" s="8" t="s">
        <v>1196</v>
      </c>
      <c r="C16" s="8" t="s">
        <v>332</v>
      </c>
      <c r="D16" s="8" t="s">
        <v>333</v>
      </c>
      <c r="E16" s="8">
        <v>1</v>
      </c>
      <c r="F16" s="8" t="str">
        <f t="array" ref="F16">IFERROR(_xlfn.XLOOKUP(B16,#REF!,#REF!,""),"")</f>
        <v/>
      </c>
      <c r="G16" s="8" t="str">
        <f t="array" ref="G16">IFERROR(_xlfn.XLOOKUP(B16,#REF!,#REF!,""),"")</f>
        <v/>
      </c>
      <c r="H16" s="8" t="str">
        <f t="array" ref="H16">IFERROR(_xlfn.XLOOKUP(B16,#REF!,#REF!,""),"")</f>
        <v/>
      </c>
      <c r="I16" s="3"/>
      <c r="J16" s="3"/>
    </row>
    <row r="17" spans="1:10" ht="14" x14ac:dyDescent="0.3">
      <c r="A17" s="7">
        <v>13</v>
      </c>
      <c r="B17" s="7" t="s">
        <v>132</v>
      </c>
      <c r="C17" s="7" t="s">
        <v>72</v>
      </c>
      <c r="D17" s="7" t="s">
        <v>73</v>
      </c>
      <c r="E17" s="7">
        <v>5</v>
      </c>
      <c r="F17" s="7" t="str">
        <f t="array" ref="F17">IFERROR(_xlfn.XLOOKUP(B17,#REF!,#REF!,""),"")</f>
        <v/>
      </c>
      <c r="G17" s="7" t="str">
        <f t="array" ref="G17">IFERROR(_xlfn.XLOOKUP(B17,#REF!,#REF!,""),"")</f>
        <v/>
      </c>
      <c r="H17" s="7" t="str">
        <f t="array" ref="H17">IFERROR(_xlfn.XLOOKUP(B17,#REF!,#REF!,""),"")</f>
        <v/>
      </c>
      <c r="I17" s="3"/>
      <c r="J17" s="3"/>
    </row>
    <row r="18" spans="1:10" ht="14" x14ac:dyDescent="0.3">
      <c r="A18" s="8">
        <v>14</v>
      </c>
      <c r="B18" s="8" t="s">
        <v>1334</v>
      </c>
      <c r="C18" s="8" t="s">
        <v>72</v>
      </c>
      <c r="D18" s="8" t="s">
        <v>73</v>
      </c>
      <c r="E18" s="8">
        <v>12</v>
      </c>
      <c r="F18" s="8" t="str">
        <f t="array" ref="F18">IFERROR(_xlfn.XLOOKUP(B18,#REF!,#REF!,""),"")</f>
        <v/>
      </c>
      <c r="G18" s="8" t="str">
        <f t="array" ref="G18">IFERROR(_xlfn.XLOOKUP(B18,#REF!,#REF!,""),"")</f>
        <v/>
      </c>
      <c r="H18" s="8" t="str">
        <f t="array" ref="H18">IFERROR(_xlfn.XLOOKUP(B18,#REF!,#REF!,""),"")</f>
        <v/>
      </c>
      <c r="I18" s="3"/>
      <c r="J18" s="3"/>
    </row>
    <row r="19" spans="1:10" ht="15.75" customHeight="1" x14ac:dyDescent="0.3">
      <c r="A19" s="7">
        <v>15</v>
      </c>
      <c r="B19" s="7" t="s">
        <v>1299</v>
      </c>
      <c r="C19" s="7" t="s">
        <v>153</v>
      </c>
      <c r="D19" s="7" t="s">
        <v>154</v>
      </c>
      <c r="E19" s="7">
        <v>2</v>
      </c>
      <c r="F19" s="7" t="str">
        <f t="array" ref="F19">IFERROR(_xlfn.XLOOKUP(B19,#REF!,#REF!,""),"")</f>
        <v/>
      </c>
      <c r="G19" s="7" t="str">
        <f t="array" ref="G19">IFERROR(_xlfn.XLOOKUP(B19,#REF!,#REF!,""),"")</f>
        <v/>
      </c>
      <c r="H19" s="7" t="str">
        <f t="array" ref="H19">IFERROR(_xlfn.XLOOKUP(B19,#REF!,#REF!,""),"")</f>
        <v/>
      </c>
      <c r="I19" s="3"/>
      <c r="J19" s="3"/>
    </row>
    <row r="20" spans="1:10" ht="15.75" customHeight="1" x14ac:dyDescent="0.3">
      <c r="A20" s="8">
        <v>16</v>
      </c>
      <c r="B20" s="8" t="s">
        <v>1296</v>
      </c>
      <c r="C20" s="8" t="s">
        <v>328</v>
      </c>
      <c r="D20" s="8" t="s">
        <v>329</v>
      </c>
      <c r="E20" s="8">
        <v>9</v>
      </c>
      <c r="F20" s="8" t="str">
        <f t="array" ref="F20">IFERROR(_xlfn.XLOOKUP(B20,#REF!,#REF!,""),"")</f>
        <v/>
      </c>
      <c r="G20" s="8" t="str">
        <f t="array" ref="G20">IFERROR(_xlfn.XLOOKUP(B20,#REF!,#REF!,""),"")</f>
        <v/>
      </c>
      <c r="H20" s="8" t="str">
        <f t="array" ref="H20">IFERROR(_xlfn.XLOOKUP(B20,#REF!,#REF!,""),"")</f>
        <v/>
      </c>
      <c r="I20" s="3"/>
      <c r="J20" s="3"/>
    </row>
    <row r="21" spans="1:10" ht="15.75" customHeight="1" x14ac:dyDescent="0.3">
      <c r="A21" s="7">
        <v>17</v>
      </c>
      <c r="B21" s="7" t="s">
        <v>1193</v>
      </c>
      <c r="C21" s="7" t="s">
        <v>328</v>
      </c>
      <c r="D21" s="7" t="s">
        <v>329</v>
      </c>
      <c r="E21" s="7">
        <v>2</v>
      </c>
      <c r="F21" s="7" t="str">
        <f t="array" ref="F21">IFERROR(_xlfn.XLOOKUP(B21,#REF!,#REF!,""),"")</f>
        <v/>
      </c>
      <c r="G21" s="7" t="str">
        <f t="array" ref="G21">IFERROR(_xlfn.XLOOKUP(B21,#REF!,#REF!,""),"")</f>
        <v/>
      </c>
      <c r="H21" s="7" t="str">
        <f t="array" ref="H21">IFERROR(_xlfn.XLOOKUP(B21,#REF!,#REF!,""),"")</f>
        <v/>
      </c>
      <c r="I21" s="3"/>
      <c r="J21" s="3"/>
    </row>
    <row r="22" spans="1:10" ht="15.75" customHeight="1" x14ac:dyDescent="0.3">
      <c r="A22" s="8">
        <v>18</v>
      </c>
      <c r="B22" s="8" t="s">
        <v>107</v>
      </c>
      <c r="C22" s="8" t="s">
        <v>21</v>
      </c>
      <c r="D22" s="8" t="s">
        <v>23</v>
      </c>
      <c r="E22" s="8">
        <v>8</v>
      </c>
      <c r="F22" s="8" t="str">
        <f t="array" ref="F22">IFERROR(_xlfn.XLOOKUP(B22,#REF!,#REF!,""),"")</f>
        <v/>
      </c>
      <c r="G22" s="8" t="str">
        <f t="array" ref="G22">IFERROR(_xlfn.XLOOKUP(B22,#REF!,#REF!,""),"")</f>
        <v/>
      </c>
      <c r="H22" s="8" t="str">
        <f t="array" ref="H22">IFERROR(_xlfn.XLOOKUP(B22,#REF!,#REF!,""),"")</f>
        <v/>
      </c>
      <c r="I22" s="3"/>
      <c r="J22" s="3"/>
    </row>
    <row r="23" spans="1:10" ht="15.75" customHeight="1" x14ac:dyDescent="0.3">
      <c r="A23" s="7">
        <v>19</v>
      </c>
      <c r="B23" s="7" t="s">
        <v>815</v>
      </c>
      <c r="C23" s="7" t="s">
        <v>21</v>
      </c>
      <c r="D23" s="7" t="s">
        <v>23</v>
      </c>
      <c r="E23" s="7">
        <v>2</v>
      </c>
      <c r="F23" s="7" t="str">
        <f t="array" ref="F23">IFERROR(_xlfn.XLOOKUP(B23,#REF!,#REF!,""),"")</f>
        <v/>
      </c>
      <c r="G23" s="7" t="str">
        <f t="array" ref="G23">IFERROR(_xlfn.XLOOKUP(B23,#REF!,#REF!,""),"")</f>
        <v/>
      </c>
      <c r="H23" s="7" t="str">
        <f t="array" ref="H23">IFERROR(_xlfn.XLOOKUP(B23,#REF!,#REF!,""),"")</f>
        <v/>
      </c>
      <c r="I23" s="3"/>
      <c r="J23" s="3"/>
    </row>
    <row r="24" spans="1:10" ht="15.75" customHeight="1" x14ac:dyDescent="0.3">
      <c r="A24" s="8">
        <v>20</v>
      </c>
      <c r="B24" s="8" t="s">
        <v>100</v>
      </c>
      <c r="C24" s="8" t="s">
        <v>21</v>
      </c>
      <c r="D24" s="8" t="s">
        <v>23</v>
      </c>
      <c r="E24" s="8">
        <v>2</v>
      </c>
      <c r="F24" s="8" t="str">
        <f t="array" ref="F24">IFERROR(_xlfn.XLOOKUP(B24,#REF!,#REF!,""),"")</f>
        <v/>
      </c>
      <c r="G24" s="8" t="str">
        <f t="array" ref="G24">IFERROR(_xlfn.XLOOKUP(B24,#REF!,#REF!,""),"")</f>
        <v/>
      </c>
      <c r="H24" s="8" t="str">
        <f t="array" ref="H24">IFERROR(_xlfn.XLOOKUP(B24,#REF!,#REF!,""),"")</f>
        <v/>
      </c>
      <c r="I24" s="3"/>
      <c r="J24" s="3"/>
    </row>
    <row r="25" spans="1:10" ht="15.75" customHeight="1" x14ac:dyDescent="0.3">
      <c r="A25" s="7">
        <v>21</v>
      </c>
      <c r="B25" s="7" t="s">
        <v>1331</v>
      </c>
      <c r="C25" s="7" t="s">
        <v>21</v>
      </c>
      <c r="D25" s="7" t="s">
        <v>23</v>
      </c>
      <c r="E25" s="7">
        <v>6</v>
      </c>
      <c r="F25" s="7" t="str">
        <f t="array" ref="F25">IFERROR(_xlfn.XLOOKUP(B25,#REF!,#REF!,""),"")</f>
        <v/>
      </c>
      <c r="G25" s="7" t="str">
        <f t="array" ref="G25">IFERROR(_xlfn.XLOOKUP(B25,#REF!,#REF!,""),"")</f>
        <v/>
      </c>
      <c r="H25" s="7" t="str">
        <f t="array" ref="H25">IFERROR(_xlfn.XLOOKUP(B25,#REF!,#REF!,""),"")</f>
        <v/>
      </c>
      <c r="I25" s="3"/>
      <c r="J25" s="3"/>
    </row>
    <row r="26" spans="1:10" ht="15.75" customHeight="1" x14ac:dyDescent="0.3">
      <c r="A26" s="8">
        <v>22</v>
      </c>
      <c r="B26" s="8" t="s">
        <v>337</v>
      </c>
      <c r="C26" s="8" t="s">
        <v>21</v>
      </c>
      <c r="D26" s="8" t="s">
        <v>23</v>
      </c>
      <c r="E26" s="8">
        <v>2</v>
      </c>
      <c r="F26" s="8" t="str">
        <f t="array" ref="F26">IFERROR(_xlfn.XLOOKUP(B26,#REF!,#REF!,""),"")</f>
        <v/>
      </c>
      <c r="G26" s="8" t="str">
        <f t="array" ref="G26">IFERROR(_xlfn.XLOOKUP(B26,#REF!,#REF!,""),"")</f>
        <v/>
      </c>
      <c r="H26" s="8" t="str">
        <f t="array" ref="H26">IFERROR(_xlfn.XLOOKUP(B26,#REF!,#REF!,""),"")</f>
        <v/>
      </c>
      <c r="I26" s="3"/>
      <c r="J26" s="3"/>
    </row>
    <row r="27" spans="1:10" ht="15.75" customHeight="1" x14ac:dyDescent="0.3">
      <c r="A27" s="7">
        <v>23</v>
      </c>
      <c r="B27" s="7" t="s">
        <v>812</v>
      </c>
      <c r="C27" s="7" t="s">
        <v>21</v>
      </c>
      <c r="D27" s="7" t="s">
        <v>23</v>
      </c>
      <c r="E27" s="7">
        <v>2</v>
      </c>
      <c r="F27" s="7" t="str">
        <f t="array" ref="F27">IFERROR(_xlfn.XLOOKUP(B27,#REF!,#REF!,""),"")</f>
        <v/>
      </c>
      <c r="G27" s="7" t="str">
        <f t="array" ref="G27">IFERROR(_xlfn.XLOOKUP(B27,#REF!,#REF!,""),"")</f>
        <v/>
      </c>
      <c r="H27" s="7" t="str">
        <f t="array" ref="H27">IFERROR(_xlfn.XLOOKUP(B27,#REF!,#REF!,""),"")</f>
        <v/>
      </c>
      <c r="I27" s="3"/>
      <c r="J27" s="3"/>
    </row>
    <row r="28" spans="1:10" ht="15.75" customHeight="1" x14ac:dyDescent="0.3">
      <c r="A28" s="8">
        <v>24</v>
      </c>
      <c r="B28" s="8" t="s">
        <v>1185</v>
      </c>
      <c r="C28" s="8" t="s">
        <v>17</v>
      </c>
      <c r="D28" s="8" t="s">
        <v>18</v>
      </c>
      <c r="E28" s="8">
        <v>17</v>
      </c>
      <c r="F28" s="8" t="str">
        <f t="array" ref="F28">IFERROR(_xlfn.XLOOKUP(B28,#REF!,#REF!,""),"")</f>
        <v/>
      </c>
      <c r="G28" s="8" t="str">
        <f t="array" ref="G28">IFERROR(_xlfn.XLOOKUP(B28,#REF!,#REF!,""),"")</f>
        <v/>
      </c>
      <c r="H28" s="8" t="str">
        <f t="array" ref="H28">IFERROR(_xlfn.XLOOKUP(B28,#REF!,#REF!,""),"")</f>
        <v/>
      </c>
      <c r="I28" s="3"/>
      <c r="J28" s="3"/>
    </row>
    <row r="29" spans="1:10" ht="15.75" customHeight="1" x14ac:dyDescent="0.3">
      <c r="A29" s="7">
        <v>25</v>
      </c>
      <c r="B29" s="7" t="s">
        <v>435</v>
      </c>
      <c r="C29" s="7" t="s">
        <v>17</v>
      </c>
      <c r="D29" s="7" t="s">
        <v>18</v>
      </c>
      <c r="E29" s="7">
        <v>41</v>
      </c>
      <c r="F29" s="7" t="str">
        <f t="array" ref="F29">IFERROR(_xlfn.XLOOKUP(B29,#REF!,#REF!,""),"")</f>
        <v/>
      </c>
      <c r="G29" s="7" t="str">
        <f t="array" ref="G29">IFERROR(_xlfn.XLOOKUP(B29,#REF!,#REF!,""),"")</f>
        <v/>
      </c>
      <c r="H29" s="7" t="str">
        <f t="array" ref="H29">IFERROR(_xlfn.XLOOKUP(B29,#REF!,#REF!,""),"")</f>
        <v/>
      </c>
      <c r="I29" s="3"/>
      <c r="J29" s="3"/>
    </row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4:H29" xr:uid="{00000000-0009-0000-0000-000046000000}">
    <sortState xmlns:xlrd2="http://schemas.microsoft.com/office/spreadsheetml/2017/richdata2" ref="A5:H29">
      <sortCondition ref="A4:A29"/>
    </sortState>
  </autoFilter>
  <mergeCells count="2">
    <mergeCell ref="A1:H1"/>
    <mergeCell ref="A2:H2"/>
  </mergeCells>
  <conditionalFormatting sqref="G5:G29">
    <cfRule type="expression" dxfId="5" priority="1">
      <formula>G5="OUT OF STOCK"</formula>
    </cfRule>
    <cfRule type="expression" dxfId="4" priority="2">
      <formula>G5="REORDER"</formula>
    </cfRule>
    <cfRule type="expression" dxfId="3" priority="3">
      <formula>G5="OK"</formula>
    </cfRule>
  </conditionalFormatting>
  <pageMargins left="0.25" right="0.25" top="0.4" bottom="0.4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Section Index</vt:lpstr>
      <vt:lpstr>S01_50C-10-V001</vt:lpstr>
      <vt:lpstr>S02_50C-10-V001A</vt:lpstr>
      <vt:lpstr>S03_50C-10-V001B</vt:lpstr>
      <vt:lpstr>S04_50C-11-V001</vt:lpstr>
      <vt:lpstr>S05_50C-11-01</vt:lpstr>
      <vt:lpstr>S06_50C-11-02</vt:lpstr>
      <vt:lpstr>S07_50C-11-03</vt:lpstr>
      <vt:lpstr>S08_50C-11-04</vt:lpstr>
      <vt:lpstr>S09_50C-11-05</vt:lpstr>
      <vt:lpstr>S10_50C-11-06</vt:lpstr>
      <vt:lpstr>S11_50C-11-07</vt:lpstr>
      <vt:lpstr>S12_50C-11-08</vt:lpstr>
      <vt:lpstr>S13_50-15-V002</vt:lpstr>
      <vt:lpstr>S14_50-20-V038</vt:lpstr>
      <vt:lpstr>S15_50-20A-V004</vt:lpstr>
      <vt:lpstr>S16_50-20B-V007</vt:lpstr>
      <vt:lpstr>S17_50-20C-V004</vt:lpstr>
      <vt:lpstr>S18_50-20D-V007</vt:lpstr>
      <vt:lpstr>S19_50-20E-V007</vt:lpstr>
      <vt:lpstr>S20_50-20F-V003</vt:lpstr>
      <vt:lpstr>S21_50-20G-V006</vt:lpstr>
      <vt:lpstr>S22_50-20H-V006</vt:lpstr>
      <vt:lpstr>S23_50-20M-V007</vt:lpstr>
      <vt:lpstr>S24_50-20N-V012</vt:lpstr>
      <vt:lpstr>S25_50C-20L-V001</vt:lpstr>
      <vt:lpstr>S26_50-30-V010</vt:lpstr>
      <vt:lpstr>S27_50C-30-V001A</vt:lpstr>
      <vt:lpstr>S28_50C-30-V001B</vt:lpstr>
      <vt:lpstr>S29_50C-30-V001C</vt:lpstr>
      <vt:lpstr>S30_50C-40-V001</vt:lpstr>
      <vt:lpstr>S31_50-40-V001A</vt:lpstr>
      <vt:lpstr>S32_50C-40-V001A</vt:lpstr>
      <vt:lpstr>S33_50C-50-V001</vt:lpstr>
      <vt:lpstr>S34_50-50-V001F</vt:lpstr>
      <vt:lpstr>S35_50C-50-V001A</vt:lpstr>
      <vt:lpstr>S36_50-55-V001</vt:lpstr>
      <vt:lpstr>S37_50-60-V010</vt:lpstr>
      <vt:lpstr>S38_50C-60-V001A</vt:lpstr>
      <vt:lpstr>S39_50-70-V014</vt:lpstr>
      <vt:lpstr>S40_50-70-V001A</vt:lpstr>
      <vt:lpstr>S41_50-70-V001C</vt:lpstr>
      <vt:lpstr>S42_50-80-V018</vt:lpstr>
      <vt:lpstr>S43_50C-80-V001A</vt:lpstr>
      <vt:lpstr>S44_50C-90-V001</vt:lpstr>
      <vt:lpstr>S45_50C-90-V001A</vt:lpstr>
      <vt:lpstr>S46_50C-91-V001</vt:lpstr>
      <vt:lpstr>S47_50-91-V001C</vt:lpstr>
      <vt:lpstr>S48_50C-100-V001</vt:lpstr>
      <vt:lpstr>S49_50C-100-V001A</vt:lpstr>
      <vt:lpstr>S_50C-110-V001</vt:lpstr>
      <vt:lpstr>S51_50C-110-V001A</vt:lpstr>
      <vt:lpstr>S52_50C-120-V001</vt:lpstr>
      <vt:lpstr>S53_50C-130-V001</vt:lpstr>
      <vt:lpstr>S54_50C-130-V001B</vt:lpstr>
      <vt:lpstr>S55_50C-130-V001C</vt:lpstr>
      <vt:lpstr>S56_50-130-V001D</vt:lpstr>
      <vt:lpstr>S57_50C-132-V001</vt:lpstr>
      <vt:lpstr>S58_50C-140-V001</vt:lpstr>
      <vt:lpstr>S59_50C-140-V001B</vt:lpstr>
      <vt:lpstr>S60_50-140-V001G</vt:lpstr>
      <vt:lpstr>S61_50C-150-V001</vt:lpstr>
      <vt:lpstr>S62_50C-150-V001B</vt:lpstr>
      <vt:lpstr>S63_50C-210-V001</vt:lpstr>
      <vt:lpstr>S64_50C-220-V001</vt:lpstr>
      <vt:lpstr>S65_EC-220-V004</vt:lpstr>
      <vt:lpstr>S66_50-230-V007</vt:lpstr>
      <vt:lpstr>S67_50-240-V007</vt:lpstr>
      <vt:lpstr>S68_GS2-V029</vt:lpstr>
      <vt:lpstr>S69_GS2-V001A</vt:lpstr>
      <vt:lpstr>S70_LUB50-V008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Shamiso-Lincy Ulanje</cp:lastModifiedBy>
  <dcterms:created xsi:type="dcterms:W3CDTF">2026-08-26T09:01:47Z</dcterms:created>
  <dcterms:modified xsi:type="dcterms:W3CDTF">2026-09-01T12:33:23Z</dcterms:modified>
</cp:coreProperties>
</file>